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
    </mc:Choice>
  </mc:AlternateContent>
  <xr:revisionPtr revIDLastSave="0" documentId="8_{2A6116A8-1E3C-4F19-8F07-03F81A751387}" xr6:coauthVersionLast="47" xr6:coauthVersionMax="47" xr10:uidLastSave="{00000000-0000-0000-0000-000000000000}"/>
  <bookViews>
    <workbookView xWindow="-108" yWindow="-108" windowWidth="23256" windowHeight="12456" firstSheet="2" activeTab="2" xr2:uid="{00000000-000D-0000-FFFF-FFFF00000000}"/>
  </bookViews>
  <sheets>
    <sheet name="Tổng quan" sheetId="1" r:id="rId1"/>
    <sheet name="Dữ liệu đầu vào" sheetId="2" r:id="rId2"/>
    <sheet name="CHÍNH" sheetId="3" r:id="rId3"/>
    <sheet name="Công thức &amp; trọng số" sheetId="4" r:id="rId4"/>
    <sheet name="Nguồn dữ liệu &amp; API" sheetId="5" r:id="rId5"/>
    <sheet name="Thư viện khuyến nghị" sheetId="6" r:id="rId6"/>
    <sheet name="Hướng dẫn developer" sheetId="7" r:id="rId7"/>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3" i="4" l="1"/>
  <c r="AB9" i="3"/>
  <c r="E27" i="1" s="1"/>
  <c r="S9" i="3"/>
  <c r="R9" i="3"/>
  <c r="Q9" i="3"/>
  <c r="P9" i="3"/>
  <c r="W9" i="3" s="1"/>
  <c r="L9" i="3"/>
  <c r="K9" i="3"/>
  <c r="J9" i="3"/>
  <c r="I9" i="3"/>
  <c r="H9" i="3"/>
  <c r="O9" i="3" s="1"/>
  <c r="V9" i="3" s="1"/>
  <c r="G9" i="3"/>
  <c r="N9" i="3" s="1"/>
  <c r="U9" i="3" s="1"/>
  <c r="F9" i="3"/>
  <c r="M9" i="3" s="1"/>
  <c r="T9" i="3" s="1"/>
  <c r="E9" i="3"/>
  <c r="D9" i="3"/>
  <c r="C9" i="3"/>
  <c r="B9" i="3"/>
  <c r="A9" i="3"/>
  <c r="A27" i="1" s="1"/>
  <c r="AB8" i="3"/>
  <c r="E26" i="1" s="1"/>
  <c r="T8" i="3"/>
  <c r="S8" i="3"/>
  <c r="R8" i="3"/>
  <c r="Q8" i="3"/>
  <c r="M8" i="3"/>
  <c r="L8" i="3"/>
  <c r="K8" i="3"/>
  <c r="J8" i="3"/>
  <c r="I8" i="3"/>
  <c r="P8" i="3" s="1"/>
  <c r="H8" i="3"/>
  <c r="O8" i="3" s="1"/>
  <c r="V8" i="3" s="1"/>
  <c r="G8" i="3"/>
  <c r="N8" i="3" s="1"/>
  <c r="U8" i="3" s="1"/>
  <c r="F8" i="3"/>
  <c r="E8" i="3"/>
  <c r="D8" i="3"/>
  <c r="C8" i="3"/>
  <c r="B8" i="3"/>
  <c r="A8" i="3"/>
  <c r="A26" i="1" s="1"/>
  <c r="AB7" i="3"/>
  <c r="E25" i="1" s="1"/>
  <c r="U7" i="3"/>
  <c r="T7" i="3"/>
  <c r="S7" i="3"/>
  <c r="X7" i="3" s="1"/>
  <c r="R7" i="3"/>
  <c r="N7" i="3"/>
  <c r="M7" i="3"/>
  <c r="L7" i="3"/>
  <c r="K7" i="3"/>
  <c r="J7" i="3"/>
  <c r="Q7" i="3" s="1"/>
  <c r="H7" i="3"/>
  <c r="O7" i="3" s="1"/>
  <c r="V7" i="3" s="1"/>
  <c r="G7" i="3"/>
  <c r="F7" i="3"/>
  <c r="E7" i="3"/>
  <c r="D7" i="3"/>
  <c r="C7" i="3"/>
  <c r="B7" i="3"/>
  <c r="I7" i="3" s="1"/>
  <c r="P7" i="3" s="1"/>
  <c r="A7" i="3"/>
  <c r="AB6" i="3"/>
  <c r="E24" i="1" s="1"/>
  <c r="V6" i="3"/>
  <c r="U6" i="3"/>
  <c r="T6" i="3"/>
  <c r="O6" i="3"/>
  <c r="N6" i="3"/>
  <c r="M6" i="3"/>
  <c r="L6" i="3"/>
  <c r="S6" i="3" s="1"/>
  <c r="X6" i="3" s="1"/>
  <c r="H6" i="3"/>
  <c r="G6" i="3"/>
  <c r="F6" i="3"/>
  <c r="E6" i="3"/>
  <c r="D6" i="3"/>
  <c r="K6" i="3" s="1"/>
  <c r="R6" i="3" s="1"/>
  <c r="C6" i="3"/>
  <c r="J6" i="3" s="1"/>
  <c r="Q6" i="3" s="1"/>
  <c r="B6" i="3"/>
  <c r="I6" i="3" s="1"/>
  <c r="P6" i="3" s="1"/>
  <c r="A6" i="3"/>
  <c r="AB5" i="3"/>
  <c r="E23" i="1" s="1"/>
  <c r="V5" i="3"/>
  <c r="U5" i="3"/>
  <c r="T5" i="3"/>
  <c r="O5" i="3"/>
  <c r="B18" i="1" s="1"/>
  <c r="N5" i="3"/>
  <c r="B17" i="1" s="1"/>
  <c r="M5" i="3"/>
  <c r="B16" i="1" s="1"/>
  <c r="L5" i="3"/>
  <c r="S5" i="3" s="1"/>
  <c r="X5" i="3" s="1"/>
  <c r="H5" i="3"/>
  <c r="G5" i="3"/>
  <c r="F5" i="3"/>
  <c r="E5" i="3"/>
  <c r="D5" i="3"/>
  <c r="K5" i="3" s="1"/>
  <c r="C5" i="3"/>
  <c r="J5" i="3" s="1"/>
  <c r="B5" i="3"/>
  <c r="I5" i="3" s="1"/>
  <c r="A5" i="3"/>
  <c r="F27" i="1"/>
  <c r="F26" i="1"/>
  <c r="F25" i="1"/>
  <c r="A25" i="1"/>
  <c r="F24" i="1"/>
  <c r="A24" i="1"/>
  <c r="F23" i="1"/>
  <c r="A23" i="1"/>
  <c r="A6" i="1"/>
  <c r="X9" i="3" l="1"/>
  <c r="AA9" i="3"/>
  <c r="P5" i="3"/>
  <c r="B12" i="1"/>
  <c r="Y7" i="3"/>
  <c r="AA7" i="3"/>
  <c r="W7" i="3"/>
  <c r="B13" i="1"/>
  <c r="Q5" i="3"/>
  <c r="AA6" i="3"/>
  <c r="W6" i="3"/>
  <c r="Y6" i="3"/>
  <c r="R5" i="3"/>
  <c r="B14" i="1"/>
  <c r="Y8" i="3"/>
  <c r="AA8" i="3"/>
  <c r="W8" i="3"/>
  <c r="X8" i="3"/>
  <c r="B15" i="1"/>
  <c r="Y9" i="3"/>
  <c r="Z8" i="3" l="1"/>
  <c r="C26" i="1" s="1"/>
  <c r="B26" i="1"/>
  <c r="Z7" i="3"/>
  <c r="C25" i="1" s="1"/>
  <c r="B25" i="1"/>
  <c r="AF8" i="3"/>
  <c r="D26" i="1"/>
  <c r="AE8" i="3"/>
  <c r="AD8" i="3"/>
  <c r="AC8" i="3"/>
  <c r="AG8" i="3" s="1"/>
  <c r="AA5" i="3"/>
  <c r="W5" i="3"/>
  <c r="Y5" i="3"/>
  <c r="AD6" i="3"/>
  <c r="AC6" i="3"/>
  <c r="D24" i="1"/>
  <c r="AE6" i="3"/>
  <c r="AF6" i="3"/>
  <c r="D25" i="1"/>
  <c r="AC7" i="3"/>
  <c r="AF7" i="3"/>
  <c r="AD7" i="3"/>
  <c r="AE7" i="3"/>
  <c r="Z9" i="3"/>
  <c r="C27" i="1" s="1"/>
  <c r="B27" i="1"/>
  <c r="Z6" i="3"/>
  <c r="C24" i="1" s="1"/>
  <c r="B24" i="1"/>
  <c r="D27" i="1"/>
  <c r="AF9" i="3"/>
  <c r="AE9" i="3"/>
  <c r="AD9" i="3"/>
  <c r="AC9" i="3"/>
  <c r="AG9" i="3" s="1"/>
  <c r="AG6" i="3" l="1"/>
  <c r="AG7" i="3"/>
  <c r="E6" i="1"/>
  <c r="Z5" i="3"/>
  <c r="B23" i="1"/>
  <c r="AD5" i="3"/>
  <c r="AE5" i="3"/>
  <c r="I8" i="1"/>
  <c r="AF5" i="3"/>
  <c r="AC5" i="3"/>
  <c r="A38" i="1" s="1"/>
  <c r="D23" i="1"/>
  <c r="AG5" i="3" l="1"/>
  <c r="A40" i="1" s="1"/>
  <c r="C23" i="1"/>
  <c r="I6" i="1"/>
</calcChain>
</file>

<file path=xl/sharedStrings.xml><?xml version="1.0" encoding="utf-8"?>
<sst xmlns="http://schemas.openxmlformats.org/spreadsheetml/2006/main" count="548" uniqueCount="285">
  <si>
    <t>HEBI DASHBOARD - BẢN DỮ LIỆU DEMO</t>
  </si>
  <si>
    <t>Hidden Environmental Burden Index (Chỉ số Gánh nặng Môi trường Ẩn) | Giá trị thời gian thực chỉ dùng tham khảo; điểm HEBI dùng dữ liệu đại diện.</t>
  </si>
  <si>
    <t>THÀNH PHỐ MINH HỌA</t>
  </si>
  <si>
    <t>ĐIỂM HEBI</t>
  </si>
  <si>
    <t>MỨC RỦI RO / TÁC NHÂN CHÍNH</t>
  </si>
  <si>
    <t>PHÂN TÍCH THÀNH PHẦN - HÀ NỘI</t>
  </si>
  <si>
    <t>Chỉ số</t>
  </si>
  <si>
    <t>Điểm 0-100</t>
  </si>
  <si>
    <t>PM2.5</t>
  </si>
  <si>
    <t>Nhiệt độ</t>
  </si>
  <si>
    <t>Tiếng ồn</t>
  </si>
  <si>
    <t>Mật độ dân số</t>
  </si>
  <si>
    <t>Thiếu không gian xanh</t>
  </si>
  <si>
    <t>Nhóm dễ tổn thương</t>
  </si>
  <si>
    <t>Rủi ro thu nhập</t>
  </si>
  <si>
    <t>SO SÁNH 5 THÀNH PHỐ</t>
  </si>
  <si>
    <t>Thành phố</t>
  </si>
  <si>
    <t>Điểm HEBI</t>
  </si>
  <si>
    <t>Mức rủi ro</t>
  </si>
  <si>
    <t>Tác nhân chính</t>
  </si>
  <si>
    <t>Xếp hạng</t>
  </si>
  <si>
    <t>PM2.5 hiện tại</t>
  </si>
  <si>
    <t>CÁCH ĐỌC KẾT QUẢ</t>
  </si>
  <si>
    <t>Điểm cao hơn nghĩa là gánh nặng môi trường ẩn lớn hơn trong phạm vi mô hình. Bản demo ưu tiên tính minh bạch và hình ảnh hợp lý, không nhằm đưa ra xếp hạng chính thức. Developer chỉ cần thay dữ liệu đầu vào; toàn bộ điểm thành phần, đóng góp và HEBI sẽ tự tính lại.</t>
  </si>
  <si>
    <t>KHUYẾN NGHỊ TỰ ĐỘNG - HÀ NỘI</t>
  </si>
  <si>
    <t>Logic đơn giản: Tác nhân chính → tra cứu một dòng trong thư viện → hiển thị khuyến nghị.</t>
  </si>
  <si>
    <t>BỘ DỮ LIỆU ĐẦU VÀO HEBI - BẢN DEMO</t>
  </si>
  <si>
    <t>Lưu ý: PM2.5 hiện tại và nhiệt độ hôm nay là dữ liệu thời điểm. Điểm HEBI dùng giá trị đại diện để tránh kết quả thay đổi quá mạnh theo từng giờ. Các ô ước tính chỉ phục vụ thiết kế và trực quan hóa.</t>
  </si>
  <si>
    <t>PM2.5 hiện tại
(µg/m³)</t>
  </si>
  <si>
    <t>Nhiệt độ cao nhất hôm nay
(°C)</t>
  </si>
  <si>
    <t>PM2.5 đại diện dùng chấm điểm
(µg/m³)</t>
  </si>
  <si>
    <t>Nhiệt độ mùa nóng đại diện
(°C)</t>
  </si>
  <si>
    <t>Tiếng ồn đô thị
(dB)</t>
  </si>
  <si>
    <t>Mật độ dân số 2023
(người/km²)</t>
  </si>
  <si>
    <t>Không gian xanh
(m²/người)</t>
  </si>
  <si>
    <t>Nhóm dễ tổn thương
(%)</t>
  </si>
  <si>
    <t>GRDP/người đại diện
(triệu đồng/năm)</t>
  </si>
  <si>
    <t>Tình trạng dữ liệu</t>
  </si>
  <si>
    <t>Thời điểm cập nhật</t>
  </si>
  <si>
    <t>Vĩ độ</t>
  </si>
  <si>
    <t>Kinh độ</t>
  </si>
  <si>
    <t>Hà Nội</t>
  </si>
  <si>
    <t>4 chỉ số có nguồn; 3 chỉ số ước tính</t>
  </si>
  <si>
    <t>10/07/2026 19:00</t>
  </si>
  <si>
    <t>TP. Hồ Chí Minh</t>
  </si>
  <si>
    <t>10/07/2026 20:00</t>
  </si>
  <si>
    <t>Đà Nẵng</t>
  </si>
  <si>
    <t>3 chỉ số có nguồn; 4 chỉ số ước tính</t>
  </si>
  <si>
    <t>Hải Phòng</t>
  </si>
  <si>
    <t>2 chỉ số có nguồn; 5 chỉ số ước tính</t>
  </si>
  <si>
    <t>Cần Thơ</t>
  </si>
  <si>
    <t>BẢNG TÍNH ĐIỂM HEBI - CÔNG THỨC ĐẦY ĐỦ</t>
  </si>
  <si>
    <t>PM2.5 đại diện</t>
  </si>
  <si>
    <t>Nhiệt độ đại diện</t>
  </si>
  <si>
    <t>Không gian xanh</t>
  </si>
  <si>
    <t>GRDP/người</t>
  </si>
  <si>
    <t>Điểm PM2.5</t>
  </si>
  <si>
    <t>Điểm nhiệt</t>
  </si>
  <si>
    <t>Điểm tiếng ồn</t>
  </si>
  <si>
    <t>Điểm mật độ</t>
  </si>
  <si>
    <t>Điểm thiếu không gian xanh</t>
  </si>
  <si>
    <t>Điểm nhóm dễ tổn thương</t>
  </si>
  <si>
    <t>Điểm rủi ro thu nhập</t>
  </si>
  <si>
    <t>Đóng góp PM2.5</t>
  </si>
  <si>
    <t>Đóng góp nhiệt</t>
  </si>
  <si>
    <t>Đóng góp tiếng ồn</t>
  </si>
  <si>
    <t>Đóng góp mật độ</t>
  </si>
  <si>
    <t>Đóng góp không gian xanh</t>
  </si>
  <si>
    <t>Đóng góp nhóm dễ tổn thương</t>
  </si>
  <si>
    <t>Đóng góp thu nhập</t>
  </si>
  <si>
    <t>Điểm phơi nhiễm</t>
  </si>
  <si>
    <t>Điểm dễ tổn thương</t>
  </si>
  <si>
    <t>Khuyến nghị ngắn</t>
  </si>
  <si>
    <t>Hành động gợi ý 1</t>
  </si>
  <si>
    <t>Hành động gợi ý 2</t>
  </si>
  <si>
    <t>Giải thích</t>
  </si>
  <si>
    <t>Khuyến nghị tổng hợp</t>
  </si>
  <si>
    <t>CÔNG THỨC TÍNH CHỈ SỐ HEBI</t>
  </si>
  <si>
    <t>Nhóm</t>
  </si>
  <si>
    <t>Đơn vị</t>
  </si>
  <si>
    <t>Chiều rủi ro</t>
  </si>
  <si>
    <t>Mốc thấp</t>
  </si>
  <si>
    <t>Mốc cao</t>
  </si>
  <si>
    <t>Trọng số</t>
  </si>
  <si>
    <t>Công thức chuẩn hóa</t>
  </si>
  <si>
    <t>Giải thích lựa chọn</t>
  </si>
  <si>
    <t>Phơi nhiễm môi trường</t>
  </si>
  <si>
    <t>µg/m³</t>
  </si>
  <si>
    <t>Càng cao càng xấu</t>
  </si>
  <si>
    <t>MAX(0; MIN(100; (X - 5) / (50 - 5) × 100))</t>
  </si>
  <si>
    <t>Mốc 5 tham chiếu hướng dẫn WHO; mốc 50 dùng để tạo dải điểm demo.</t>
  </si>
  <si>
    <t>Nhiệt độ mùa nóng</t>
  </si>
  <si>
    <t>°C</t>
  </si>
  <si>
    <t>MAX(0; MIN(100; (X - 30) / (40 - 30) × 100))</t>
  </si>
  <si>
    <t>Mốc nội bộ để phân biệt mức nóng đô thị trong bản mẫu.</t>
  </si>
  <si>
    <t>Tiếng ồn đô thị</t>
  </si>
  <si>
    <t>dB</t>
  </si>
  <si>
    <t>MAX(0; MIN(100; (X - 50) / (80 - 50) × 100))</t>
  </si>
  <si>
    <t>Dựa trên khoảng tiếng ồn giao thông đô thị được ghi nhận trong nghiên cứu Việt Nam.</t>
  </si>
  <si>
    <t>Dễ tổn thương xã hội</t>
  </si>
  <si>
    <t>người/km²</t>
  </si>
  <si>
    <t>MAX(0; MIN(100; (X - 500) / (5000 - 500) × 100))</t>
  </si>
  <si>
    <t>Dải thiết kế bao phủ từ đô thị mật độ thấp đến rất cao trong nhóm 5 thành phố.</t>
  </si>
  <si>
    <t>m²/người</t>
  </si>
  <si>
    <t>Càng cao càng tốt</t>
  </si>
  <si>
    <t>MAX(0; MIN(100; (10 - X) / (10 - 0) × 100))</t>
  </si>
  <si>
    <t>Đảo chiều: ít không gian xanh tạo điểm rủi ro cao hơn.</t>
  </si>
  <si>
    <t>% dân số</t>
  </si>
  <si>
    <t>MAX(0; MIN(100; (X - 20) / (40 - 20) × 100))</t>
  </si>
  <si>
    <t>Gồm trẻ em và người cao tuổi; hiện là ước tính cho bản demo.</t>
  </si>
  <si>
    <t>triệu đồng/năm</t>
  </si>
  <si>
    <t>MAX(0; MIN(100; (200 - X) / (200 - 80) × 100))</t>
  </si>
  <si>
    <t>Đảo chiều: thu nhập đại diện cao hơn được xem là khả năng thích ứng tốt hơn.</t>
  </si>
  <si>
    <t>Tổng trọng số</t>
  </si>
  <si>
    <t>HEBI = tổng (Điểm chuẩn hóa × Trọng số)</t>
  </si>
  <si>
    <t>PHÂN LOẠI MỨC RỦI RO</t>
  </si>
  <si>
    <t>Khoảng điểm</t>
  </si>
  <si>
    <t>Màu hiển thị</t>
  </si>
  <si>
    <t>0 - 39,9</t>
  </si>
  <si>
    <t>Thấp</t>
  </si>
  <si>
    <t>Xanh</t>
  </si>
  <si>
    <t>40 - 59,9</t>
  </si>
  <si>
    <t>Trung bình</t>
  </si>
  <si>
    <t>Vàng</t>
  </si>
  <si>
    <t>60 - 74,9</t>
  </si>
  <si>
    <t>Cao</t>
  </si>
  <si>
    <t>Cam</t>
  </si>
  <si>
    <t>75 - 100</t>
  </si>
  <si>
    <t>Rất cao</t>
  </si>
  <si>
    <t>Đỏ</t>
  </si>
  <si>
    <t>NGUỒN DỮ LIỆU, GIẢ ĐỊNH VÀ GỢI Ý API</t>
  </si>
  <si>
    <t>Dữ liệu có nhãn “Ước tính phục vụ demo” được chọn để tạo hình ảnh trực quan hợp lý. Developer có thể thay giá trị mà không cần đổi công thức.</t>
  </si>
  <si>
    <t>STT</t>
  </si>
  <si>
    <t>Giá trị dùng chấm điểm</t>
  </si>
  <si>
    <t>Loại dữ liệu</t>
  </si>
  <si>
    <t>Thời kỳ / tham chiếu</t>
  </si>
  <si>
    <t>Giá trị thời gian thực tham khảo</t>
  </si>
  <si>
    <t>Ghi chú phương pháp</t>
  </si>
  <si>
    <t>URL nguồn</t>
  </si>
  <si>
    <t>Có nguồn + ước tính đại diện</t>
  </si>
  <si>
    <t>2025 / đại diện</t>
  </si>
  <si>
    <t>PM2.5 hiện tại: 9.0 µg/m³. Giá trị dùng chấm điểm là mức đại diện, tránh biến động theo từng giờ. Hà Nội dùng mức trung bình 2025 được IQAir công bố.</t>
  </si>
  <si>
    <t>https://www.iqair.com/vi/air-quality/vietnam/ha-noi/hanoi</t>
  </si>
  <si>
    <t>Ước tính từ dữ liệu ngày hiện tại</t>
  </si>
  <si>
    <t>Mùa nóng đại diện</t>
  </si>
  <si>
    <t>Nhiệt độ cao nhất hôm nay dùng làm tham khảo; mức chấm điểm được nâng về giá trị mùa nóng điển hình.</t>
  </si>
  <si>
    <t>Giá trị nghiên cứu tham khảo</t>
  </si>
  <si>
    <t>Đại diện ban ngày</t>
  </si>
  <si>
    <t>Hà Nội và TP.HCM tham chiếu nghiên cứu tiếng ồn giao thông; thành phố khác ước tính theo quy mô giao thông.</t>
  </si>
  <si>
    <t>https://www.sciencedirect.com/science/article/abs/pii/S0003682X09002710</t>
  </si>
  <si>
    <t>Số liệu thống kê</t>
  </si>
  <si>
    <t>2023</t>
  </si>
  <si>
    <t>CEIC dẫn nguồn Tổng cục Thống kê / National Statistics Office.</t>
  </si>
  <si>
    <t>https://www.ceicdata.com/en/vietnam/population-density-by-provinces/population-density-rr-ha-noi</t>
  </si>
  <si>
    <t>Dữ liệu báo cáo</t>
  </si>
  <si>
    <t>Hà Nội, TP.HCM và Đà Nẵng có số liệu công bố; Hải Phòng và Cần Thơ ước tính theo quy mô đô thị.</t>
  </si>
  <si>
    <t>https://vietnamnews.vn/society/1692989/urban-greenery-falls-short-despite-tree-planting-effort.html</t>
  </si>
  <si>
    <t>%</t>
  </si>
  <si>
    <t>Ước tính phục vụ demo</t>
  </si>
  <si>
    <t>Đại diện cơ cấu dân số</t>
  </si>
  <si>
    <t>Ước tính tổng tỷ lệ trẻ em và người cao tuổi; cần thay bằng dữ liệu điều tra chi tiết khi có.</t>
  </si>
  <si>
    <t>https://vietnam.unfpa.org/sites/default/files/pub-pdf/Results%20-%202019%20Population%20and%20Housing%20Census_full.pdf</t>
  </si>
  <si>
    <t>GRDP/người đại diện</t>
  </si>
  <si>
    <t>2023-2024 đại diện</t>
  </si>
  <si>
    <t>Dùng làm proxy cho năng lực thích ứng kinh tế; không dùng như số liệu báo cáo chính thức.</t>
  </si>
  <si>
    <t>https://www.nso.gov.vn/wp-content/uploads/2025/06/NGTK-Cuc-TK-2024_BQ_PDF.pdf</t>
  </si>
  <si>
    <t>PM2.5 hiện tại: 19.0 µg/m³. Giá trị dùng chấm điểm là mức đại diện, tránh biến động theo từng giờ. Giá trị đại diện được ước tính từ dữ liệu trang và vị thế tương đối giữa các thành phố.</t>
  </si>
  <si>
    <t>https://www.iqair.com/air-quality/vietnam/ho-chi-minh-city/ho-chi-minh-city</t>
  </si>
  <si>
    <t>https://www.ceicdata.com/en/vietnam/population-density-by-provinces/population-density-se-ho-chi-minh-city</t>
  </si>
  <si>
    <t>PM2.5 hiện tại: 7.0 µg/m³. Giá trị dùng chấm điểm là mức đại diện, tránh biến động theo từng giờ. Đà Nẵng dùng mức xấp xỉ dài hạn trên trang IQAir.</t>
  </si>
  <si>
    <t>https://www.iqair.com/air-quality/vietnam/da-nang-city/da-nang</t>
  </si>
  <si>
    <t>https://www.ceicdata.com/en/vietnam/population-density-by-provinces/population-density-nc-da-nang</t>
  </si>
  <si>
    <t>PM2.5 hiện tại: 14.0 µg/m³. Giá trị dùng chấm điểm là mức đại diện, tránh biến động theo từng giờ. Giá trị đại diện được ước tính từ dữ liệu trang và vị thế tương đối giữa các thành phố.</t>
  </si>
  <si>
    <t>https://www.iqair.com/vi/air-quality/vietnam/hai-phong-city/haiphong</t>
  </si>
  <si>
    <t>https://www.ceicdata.com/en/vietnam/population-density-by-provinces/population-density-rr-hai-phong</t>
  </si>
  <si>
    <t>https://www.iqair.com/air-quality/vietnam/can-tho-city/can-tho</t>
  </si>
  <si>
    <t>https://www.ceicdata.com/en/vietnam/population-density-by-provinces/population-density-mr-can-tho</t>
  </si>
  <si>
    <t>GỢI Ý KẾT NỐI API CHO DEVELOPER</t>
  </si>
  <si>
    <t>Dữ liệu</t>
  </si>
  <si>
    <t>Nhà cung cấp</t>
  </si>
  <si>
    <t>Trường cần lấy</t>
  </si>
  <si>
    <t>Tần suất gợi ý</t>
  </si>
  <si>
    <t>Cần API key?</t>
  </si>
  <si>
    <t>Endpoint mẫu</t>
  </si>
  <si>
    <t>Dùng ngay?</t>
  </si>
  <si>
    <t>Fallback</t>
  </si>
  <si>
    <t>Tài liệu</t>
  </si>
  <si>
    <t>Ghi chú</t>
  </si>
  <si>
    <t>Open-Meteo Air Quality API</t>
  </si>
  <si>
    <t>current.pm2_5</t>
  </si>
  <si>
    <t>1 giờ/lần</t>
  </si>
  <si>
    <t>Không (phi thương mại)</t>
  </si>
  <si>
    <t>https://air-quality-api.open-meteo.com/v1/air-quality?latitude={lat}&amp;longitude={lon}&amp;current=pm2_5&amp;timezone=Asia/Bangkok</t>
  </si>
  <si>
    <t>Có</t>
  </si>
  <si>
    <t>Giữ giá trị gần nhất</t>
  </si>
  <si>
    <t>https://open-meteo.com/en/docs/air-quality-api</t>
  </si>
  <si>
    <t>Dữ liệu mô hình khí quyển; phù hợp MVP.</t>
  </si>
  <si>
    <t>Nhiệt độ / cảm nhận</t>
  </si>
  <si>
    <t>Open-Meteo Weather API</t>
  </si>
  <si>
    <t>current.apparent_temperature hoặc daily.temperature_2m_max</t>
  </si>
  <si>
    <t>https://api.open-meteo.com/v1/forecast?latitude={lat}&amp;longitude={lon}&amp;current=apparent_temperature&amp;daily=temperature_2m_max&amp;timezone=Asia/Bangkok</t>
  </si>
  <si>
    <t>Dùng giá trị đại diện tĩnh</t>
  </si>
  <si>
    <t>https://open-meteo.com/en/docs</t>
  </si>
  <si>
    <t>Có thể thay nhiệt độ bằng apparent temperature để phản ánh stress nhiệt tốt hơn.</t>
  </si>
  <si>
    <t>NSO / dữ liệu thống kê</t>
  </si>
  <si>
    <t>population_density</t>
  </si>
  <si>
    <t>1 năm/lần</t>
  </si>
  <si>
    <t>Không</t>
  </si>
  <si>
    <t>Tệp CSV/JSON tĩnh trong dự án</t>
  </si>
  <si>
    <t>Giữ số liệu 2023</t>
  </si>
  <si>
    <t>https://www.nso.gov.vn/</t>
  </si>
  <si>
    <t>Không cần API thời gian thực.</t>
  </si>
  <si>
    <t>Tiếng ồn, không gian xanh, nhóm dễ tổn thương, thu nhập</t>
  </si>
  <si>
    <t>Nguồn nghiên cứu / thống kê</t>
  </si>
  <si>
    <t>static indicators</t>
  </si>
  <si>
    <t>6-12 tháng/lần</t>
  </si>
  <si>
    <t>CSV/JSON nội bộ</t>
  </si>
  <si>
    <t>Giữ các giá trị ước tính</t>
  </si>
  <si>
    <t>Nên ưu tiên dữ liệu tĩnh trong MVP.</t>
  </si>
  <si>
    <t>THƯ VIỆN KHUYẾN NGHỊ HEBI - PHIÊN BẢN ĐƠN GIẢN</t>
  </si>
  <si>
    <t>Hệ thống chỉ xác định tác nhân có đóng góp lớn nhất vào Điểm HEBI, sau đó trả về một khuyến nghị cố định tương ứng. Không chia cấp độ và không dùng AI.</t>
  </si>
  <si>
    <t>Giải thích cho người dùng</t>
  </si>
  <si>
    <t>Ưu tiên giảm phơi nhiễm và phát thải bụi mịn PM2.5.</t>
  </si>
  <si>
    <t>Tăng giám sát chất lượng không khí tại trường học, bệnh viện và khu dân cư đông đúc.</t>
  </si>
  <si>
    <t>Phát cảnh báo sức khỏe trong các ngày có nồng độ PM2.5 cao.</t>
  </si>
  <si>
    <t>PM2.5 là yếu tố đóng góp lớn nhất vào gánh nặng môi trường của thành phố.</t>
  </si>
  <si>
    <t>Ưu tiên giảm căng thẳng nhiệt tại các khu vực đô thị nóng.</t>
  </si>
  <si>
    <t>Tăng cây xanh, bóng râm và các điểm làm mát công cộng.</t>
  </si>
  <si>
    <t>Phát cảnh báo nắng nóng cho người lao động ngoài trời và nhóm dễ tổn thương.</t>
  </si>
  <si>
    <t>Nhiệt đô thị là yếu tố đóng góp lớn nhất vào gánh nặng môi trường của thành phố.</t>
  </si>
  <si>
    <t>Ưu tiên kiểm soát tiếng ồn giao thông và xây dựng.</t>
  </si>
  <si>
    <t>Theo dõi tiếng ồn tại các trục đường lớn, trường học và bệnh viện.</t>
  </si>
  <si>
    <t>Hạn chế còi xe và hoạt động gây ồn tại các khung giờ nhạy cảm.</t>
  </si>
  <si>
    <t>Tiếng ồn là yếu tố đóng góp lớn nhất vào gánh nặng môi trường của thành phố.</t>
  </si>
  <si>
    <t>Ưu tiên can thiệp tại các khu vực có mật độ dân số cao.</t>
  </si>
  <si>
    <t>Đặt thiết bị giám sát môi trường tại các khu dân cư đông đúc.</t>
  </si>
  <si>
    <t>Tập trung cảnh báo và nguồn lực vào nơi có số người bị ảnh hưởng lớn nhất.</t>
  </si>
  <si>
    <t>Mật độ dân số cao làm cùng một mức ô nhiễm ảnh hưởng đến nhiều người hơn.</t>
  </si>
  <si>
    <t>Ưu tiên mở rộng và bảo vệ không gian xanh đô thị.</t>
  </si>
  <si>
    <t>Phát triển công viên nhỏ, hành lang cây xanh và cây xanh quanh trường học.</t>
  </si>
  <si>
    <t>Ưu tiên các khu dân cư đông đúc đang thiếu khả năng tiếp cận không gian xanh.</t>
  </si>
  <si>
    <t>Thiếu không gian xanh làm giảm khả năng thích ứng với nhiệt, ô nhiễm và tiếng ồn.</t>
  </si>
  <si>
    <t>Ưu tiên bảo vệ trẻ em, người cao tuổi và người có vấn đề sức khỏe.</t>
  </si>
  <si>
    <t>Gửi cảnh báo môi trường qua trường học, bệnh viện và cơ sở cộng đồng.</t>
  </si>
  <si>
    <t>Ưu tiên giám sát tại các khu vực tập trung nhiều nhóm dễ tổn thương.</t>
  </si>
  <si>
    <t>Tỷ lệ nhóm dễ tổn thương cao làm tác động môi trường trở nên nghiêm trọng hơn.</t>
  </si>
  <si>
    <t>Ưu tiên các biện pháp bảo vệ môi trường dễ tiếp cận và chi phí thấp.</t>
  </si>
  <si>
    <t>Tập trung đầu tư công vào các cộng đồng có khả năng tự thích ứng thấp.</t>
  </si>
  <si>
    <t>Cung cấp cảnh báo và dịch vụ bảo vệ sức khỏe miễn phí hoặc trợ giá.</t>
  </si>
  <si>
    <t>Khả năng thích ứng kinh tế thấp làm người dân khó tự bảo vệ trước áp lực môi trường.</t>
  </si>
  <si>
    <t>HƯỚNG DẪN TRIỂN KHAI THƯ VIỆN KHUYẾN NGHỊ</t>
  </si>
  <si>
    <t>1. LOGIC XỬ LÝ</t>
  </si>
  <si>
    <t>Bước 1</t>
  </si>
  <si>
    <t>Hệ thống đã tính được mức đóng góp có trọng số của 7 yếu tố.</t>
  </si>
  <si>
    <t>Bước 2</t>
  </si>
  <si>
    <t>Chọn yếu tố có mức đóng góp cao nhất làm Tác nhân chính.</t>
  </si>
  <si>
    <t>Bước 3</t>
  </si>
  <si>
    <t>Dùng tên Tác nhân chính làm khóa tra cứu trong thư viện khuyến nghị.</t>
  </si>
  <si>
    <t>Bước 4</t>
  </si>
  <si>
    <t>Trả về một khuyến nghị ngắn, hai hành động gợi ý và một đoạn giải thích.</t>
  </si>
  <si>
    <t>Bước 5</t>
  </si>
  <si>
    <t>Nếu không tìm thấy khóa phù hợp, dùng nội dung mặc định: “Tiếp tục theo dõi dữ liệu và cập nhật khuyến nghị khi có thêm thông tin.”</t>
  </si>
  <si>
    <t>2. CẤU TRÚC DỮ LIỆU ĐỀ XUẤT</t>
  </si>
  <si>
    <t>main_driver</t>
  </si>
  <si>
    <t>recommendation</t>
  </si>
  <si>
    <t>action_1</t>
  </si>
  <si>
    <t>action_2</t>
  </si>
  <si>
    <t>explanation</t>
  </si>
  <si>
    <t>Tăng giám sát tại trường học và bệnh viện.</t>
  </si>
  <si>
    <t>Phát cảnh báo trong ngày ô nhiễm cao.</t>
  </si>
  <si>
    <t>PM2.5 là yếu tố đóng góp lớn nhất vào gánh nặng môi trường.</t>
  </si>
  <si>
    <t>3. PSEUDOCODE (MÃ GIẢ)</t>
  </si>
  <si>
    <t>main_driver = get_main_driver(weighted_contributions)
recommendation_library = {
  "PM2.5": {...},
  "Nhiệt độ": {...},
  "Tiếng ồn": {...},
  "Mật độ dân số": {...},
  "Thiếu không gian xanh": {...},
  "Nhóm dễ tổn thương": {...},
  "Rủi ro thu nhập": {...}
}
result = recommendation_library.get(main_driver, default_recommendation)</t>
  </si>
  <si>
    <t>4. YÊU CẦU TRIỂN KHAI</t>
  </si>
  <si>
    <t>Yêu cầu 1</t>
  </si>
  <si>
    <t>Tên khóa trong code phải giống chính xác với tên Tác nhân chính trong hệ thống.</t>
  </si>
  <si>
    <t>Yêu cầu 2</t>
  </si>
  <si>
    <t>Nội dung khuyến nghị nên lưu trong JSON, CSV, database hoặc object riêng, không hard-code trực tiếp trong giao diện.</t>
  </si>
  <si>
    <t>Yêu cầu 3</t>
  </si>
  <si>
    <t>Developer cần tạo một khuyến nghị mặc định để tránh lỗi khi khóa không khớp.</t>
  </si>
  <si>
    <t>Yêu cầu 4</t>
  </si>
  <si>
    <t>Admin hoặc chủ dự án có thể sửa nội dung thư viện mà không cần thay đổi công thức tính HEBI.</t>
  </si>
  <si>
    <t>Yêu cầu 5</t>
  </si>
  <si>
    <t>Phiên bản MVP chỉ hiển thị một khuyến nghị chính và tối đa hai hành động gợi ý.</t>
  </si>
  <si>
    <t>Mỗi chỉ số được chuẩn hóa về thang 0-100, sau đó nhân với trọng số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</si>
</sst>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font>
      <sz val="11"/>
      <name val="Carlito"/>
    </font>
    <font>
      <b/>
      <sz val="18"/>
      <color rgb="FFFFFFFF"/>
      <name val="Carlito"/>
    </font>
    <font>
      <i/>
      <sz val="11"/>
      <color rgb="FF9A3412"/>
      <name val="Carlito"/>
    </font>
    <font>
      <b/>
      <sz val="11"/>
      <color rgb="FF17324D"/>
      <name val="Carlito"/>
    </font>
    <font>
      <i/>
      <sz val="11"/>
      <color rgb="FF17324D"/>
      <name val="Carlito"/>
    </font>
    <font>
      <b/>
      <sz val="11"/>
      <color rgb="FFFFFFFF"/>
      <name val="Carlito"/>
    </font>
    <font>
      <b/>
      <sz val="11"/>
      <color rgb="FF0F766E"/>
      <name val="Carlito"/>
    </font>
    <font>
      <b/>
      <sz val="22"/>
      <color rgb="FF0F766E"/>
      <name val="Carlito"/>
    </font>
    <font>
      <b/>
      <sz val="24"/>
      <color rgb="FF2563EB"/>
      <name val="Carlito"/>
    </font>
    <font>
      <b/>
      <sz val="18"/>
      <color rgb="FF9A3412"/>
      <name val="Carlito"/>
    </font>
    <font>
      <b/>
      <sz val="12"/>
      <color rgb="FF17324D"/>
      <name val="Carlito"/>
    </font>
    <font>
      <sz val="11"/>
      <color rgb="FF1F2937"/>
      <name val="Carlito"/>
    </font>
    <font>
      <b/>
      <sz val="12"/>
      <color rgb="FF14532D"/>
      <name val="Carlito"/>
    </font>
    <font>
      <sz val="11"/>
      <color rgb="FF17324D"/>
      <name val="Carlito"/>
    </font>
    <font>
      <sz val="10"/>
      <color rgb="FF1F2937"/>
      <name val="Consolas"/>
    </font>
  </fonts>
  <fills count="23">
    <fill>
      <patternFill patternType="none"/>
    </fill>
    <fill>
      <patternFill patternType="gray125"/>
    </fill>
    <fill>
      <patternFill patternType="solid">
        <fgColor rgb="FF17324D"/>
      </patternFill>
    </fill>
    <fill>
      <patternFill patternType="solid">
        <fgColor rgb="FFFFF7ED"/>
      </patternFill>
    </fill>
    <fill>
      <patternFill patternType="solid">
        <fgColor rgb="FFDCE7F2"/>
      </patternFill>
    </fill>
    <fill>
      <patternFill patternType="solid">
        <fgColor rgb="FFEAF2FF"/>
      </patternFill>
    </fill>
    <fill>
      <patternFill patternType="solid">
        <fgColor rgb="FF0F766E"/>
      </patternFill>
    </fill>
    <fill>
      <patternFill patternType="solid">
        <fgColor rgb="FFE8F5F2"/>
      </patternFill>
    </fill>
    <fill>
      <patternFill patternType="solid">
        <fgColor rgb="FFDCFCE7"/>
      </patternFill>
    </fill>
    <fill>
      <patternFill patternType="solid">
        <fgColor rgb="FFFEF3C7"/>
      </patternFill>
    </fill>
    <fill>
      <patternFill patternType="solid">
        <fgColor rgb="FFFFEDD5"/>
      </patternFill>
    </fill>
    <fill>
      <patternFill patternType="solid">
        <fgColor rgb="FFFEE2E2"/>
      </patternFill>
    </fill>
    <fill>
      <patternFill patternType="solid">
        <fgColor rgb="FFEFF6FF"/>
      </patternFill>
    </fill>
    <fill>
      <patternFill patternType="solid">
        <fgColor rgb="FFF3F6F8"/>
      </patternFill>
    </fill>
    <fill>
      <patternFill patternType="solid">
        <fgColor rgb="FF17324D"/>
      </patternFill>
    </fill>
    <fill>
      <patternFill patternType="solid">
        <fgColor rgb="FFEAF2FF"/>
      </patternFill>
    </fill>
    <fill>
      <patternFill patternType="solid">
        <fgColor rgb="FFDCE7F2"/>
      </patternFill>
    </fill>
    <fill>
      <patternFill patternType="solid">
        <fgColor rgb="FF17324D"/>
      </patternFill>
    </fill>
    <fill>
      <patternFill patternType="solid">
        <fgColor rgb="FFEAF2FF"/>
      </patternFill>
    </fill>
    <fill>
      <patternFill patternType="solid">
        <fgColor rgb="FFDCE7F2"/>
      </patternFill>
    </fill>
    <fill>
      <patternFill patternType="solid">
        <fgColor rgb="FF0F766E"/>
      </patternFill>
    </fill>
    <fill>
      <patternFill patternType="solid">
        <fgColor rgb="FFE8F5F2"/>
      </patternFill>
    </fill>
    <fill>
      <patternFill patternType="solid">
        <fgColor rgb="FFF3F6F8"/>
      </patternFill>
    </fill>
  </fills>
  <borders count="1">
    <border>
      <left/>
      <right/>
      <top/>
      <bottom/>
      <diagonal/>
    </border>
  </borders>
  <cellStyleXfs count="1">
    <xf numFmtId="0" fontId="0" fillId="0" borderId="0"/>
  </cellStyleXfs>
  <cellXfs count="38">
    <xf numFmtId="0" fontId="0" fillId="0" borderId="0" xfId="0"/>
    <xf numFmtId="0" fontId="3" fillId="4" borderId="0" xfId="0" applyNumberFormat="1" applyFont="1" applyFill="1" applyBorder="1" applyAlignment="1">
      <alignment horizontal="center" vertical="center" wrapText="1"/>
    </xf>
    <xf numFmtId="0" fontId="0" fillId="0" borderId="0" xfId="0" applyNumberFormat="1" applyFont="1" applyFill="1" applyBorder="1"/>
    <xf numFmtId="164" fontId="0" fillId="0" borderId="0" xfId="0" applyNumberFormat="1" applyFont="1" applyFill="1" applyBorder="1"/>
    <xf numFmtId="165" fontId="0" fillId="0" borderId="0" xfId="0" applyNumberFormat="1" applyFont="1" applyFill="1" applyBorder="1"/>
    <xf numFmtId="0" fontId="0" fillId="0" borderId="0" xfId="0" applyNumberFormat="1" applyFont="1" applyFill="1" applyBorder="1" applyAlignment="1">
      <alignment wrapText="1"/>
    </xf>
    <xf numFmtId="164" fontId="0" fillId="3" borderId="0" xfId="0" applyNumberFormat="1" applyFont="1" applyFill="1" applyBorder="1"/>
    <xf numFmtId="9" fontId="6" fillId="7" borderId="0" xfId="0" applyNumberFormat="1" applyFont="1" applyFill="1" applyBorder="1" applyAlignment="1">
      <alignment horizontal="center"/>
    </xf>
    <xf numFmtId="0" fontId="0" fillId="8" borderId="0" xfId="0" applyNumberFormat="1" applyFont="1" applyFill="1" applyBorder="1"/>
    <xf numFmtId="0" fontId="0" fillId="9" borderId="0" xfId="0" applyNumberFormat="1" applyFont="1" applyFill="1" applyBorder="1"/>
    <xf numFmtId="0" fontId="0" fillId="10" borderId="0" xfId="0" applyNumberFormat="1" applyFont="1" applyFill="1" applyBorder="1"/>
    <xf numFmtId="0" fontId="0" fillId="11" borderId="0" xfId="0" applyNumberFormat="1" applyFont="1" applyFill="1" applyBorder="1"/>
    <xf numFmtId="9" fontId="0" fillId="0" borderId="0" xfId="0" applyNumberFormat="1" applyFont="1" applyFill="1" applyBorder="1" applyAlignment="1">
      <alignment wrapText="1"/>
    </xf>
    <xf numFmtId="1" fontId="0" fillId="0" borderId="0" xfId="0" applyNumberFormat="1" applyFont="1" applyFill="1" applyBorder="1"/>
    <xf numFmtId="0" fontId="3" fillId="16" borderId="0" xfId="0" applyNumberFormat="1" applyFont="1" applyFill="1" applyAlignment="1">
      <alignment horizontal="center" vertical="center" wrapText="1"/>
    </xf>
    <xf numFmtId="0" fontId="0" fillId="0" borderId="0" xfId="0" applyNumberFormat="1" applyFont="1" applyFill="1" applyAlignment="1">
      <alignment wrapText="1"/>
    </xf>
    <xf numFmtId="0" fontId="3" fillId="19" borderId="0" xfId="0" applyNumberFormat="1" applyFont="1" applyFill="1" applyAlignment="1">
      <alignment horizontal="center" vertical="center" wrapText="1"/>
    </xf>
    <xf numFmtId="164" fontId="0" fillId="0" borderId="0" xfId="0" applyNumberFormat="1" applyFont="1" applyFill="1" applyAlignment="1">
      <alignment wrapText="1"/>
    </xf>
    <xf numFmtId="0" fontId="1" fillId="2" borderId="0" xfId="0" applyNumberFormat="1" applyFont="1" applyFill="1" applyBorder="1" applyAlignment="1">
      <alignment horizontal="left" vertical="center"/>
    </xf>
    <xf numFmtId="0" fontId="4" fillId="5" borderId="0" xfId="0" applyNumberFormat="1" applyFont="1" applyFill="1" applyBorder="1" applyAlignment="1">
      <alignment wrapText="1"/>
    </xf>
    <xf numFmtId="0" fontId="5" fillId="6" borderId="0" xfId="0" applyNumberFormat="1" applyFont="1" applyFill="1" applyBorder="1" applyAlignment="1">
      <alignment horizontal="left" vertical="center"/>
    </xf>
    <xf numFmtId="0" fontId="7" fillId="7" borderId="0" xfId="0" applyNumberFormat="1" applyFont="1" applyFill="1" applyBorder="1" applyAlignment="1">
      <alignment horizontal="center" vertical="center"/>
    </xf>
    <xf numFmtId="164" fontId="8" fillId="5" borderId="0" xfId="0" applyNumberFormat="1" applyFont="1" applyFill="1" applyBorder="1" applyAlignment="1">
      <alignment horizontal="center" vertical="center"/>
    </xf>
    <xf numFmtId="0" fontId="9" fillId="10" borderId="0" xfId="0" applyNumberFormat="1" applyFont="1" applyFill="1" applyBorder="1" applyAlignment="1">
      <alignment horizontal="center" vertical="center"/>
    </xf>
    <xf numFmtId="0" fontId="10" fillId="12" borderId="0" xfId="0" applyNumberFormat="1" applyFont="1" applyFill="1" applyBorder="1" applyAlignment="1">
      <alignment horizontal="center" vertical="center"/>
    </xf>
    <xf numFmtId="0" fontId="11" fillId="13" borderId="0" xfId="0" applyNumberFormat="1" applyFont="1" applyFill="1" applyBorder="1" applyAlignment="1">
      <alignment vertical="top" wrapText="1"/>
    </xf>
    <xf numFmtId="0" fontId="5" fillId="20" borderId="0" xfId="0" applyNumberFormat="1" applyFont="1" applyFill="1" applyBorder="1" applyAlignment="1">
      <alignment horizontal="left" vertical="center"/>
    </xf>
    <xf numFmtId="0" fontId="12" fillId="21" borderId="0" xfId="0" applyNumberFormat="1" applyFont="1" applyFill="1" applyAlignment="1">
      <alignment horizontal="center" vertical="center" wrapText="1"/>
    </xf>
    <xf numFmtId="0" fontId="13" fillId="18" borderId="0" xfId="0" applyNumberFormat="1" applyFont="1" applyFill="1" applyAlignment="1">
      <alignment vertical="top" wrapText="1"/>
    </xf>
    <xf numFmtId="0" fontId="4" fillId="22" borderId="0" xfId="0" applyNumberFormat="1" applyFont="1" applyFill="1" applyAlignment="1">
      <alignment vertical="center" wrapText="1"/>
    </xf>
    <xf numFmtId="0" fontId="2" fillId="3" borderId="0" xfId="0" applyNumberFormat="1" applyFont="1" applyFill="1" applyBorder="1" applyAlignment="1">
      <alignment vertical="center" wrapText="1"/>
    </xf>
    <xf numFmtId="0" fontId="6" fillId="7" borderId="0" xfId="0" applyNumberFormat="1" applyFont="1" applyFill="1" applyBorder="1" applyAlignment="1">
      <alignment wrapText="1"/>
    </xf>
    <xf numFmtId="0" fontId="2" fillId="3" borderId="0" xfId="0" applyNumberFormat="1" applyFont="1" applyFill="1" applyBorder="1" applyAlignment="1">
      <alignment wrapText="1"/>
    </xf>
    <xf numFmtId="0" fontId="1" fillId="17" borderId="0" xfId="0" applyNumberFormat="1" applyFont="1" applyFill="1" applyBorder="1" applyAlignment="1">
      <alignment horizontal="left" vertical="center"/>
    </xf>
    <xf numFmtId="0" fontId="1" fillId="14" borderId="0" xfId="0" applyNumberFormat="1" applyFont="1" applyFill="1" applyBorder="1" applyAlignment="1">
      <alignment horizontal="left" vertical="center"/>
    </xf>
    <xf numFmtId="0" fontId="4" fillId="18" borderId="0" xfId="0" applyNumberFormat="1" applyFont="1" applyFill="1" applyBorder="1" applyAlignment="1">
      <alignment vertical="center" wrapText="1"/>
    </xf>
    <xf numFmtId="0" fontId="4" fillId="15" borderId="0" xfId="0" applyNumberFormat="1" applyFont="1" applyFill="1" applyBorder="1" applyAlignment="1">
      <alignment vertical="center" wrapText="1"/>
    </xf>
    <xf numFmtId="0" fontId="14" fillId="22" borderId="0" xfId="0" applyNumberFormat="1" applyFont="1" applyFill="1" applyAlignment="1">
      <alignment vertical="top" wrapText="1"/>
    </xf>
  </cellXfs>
  <cellStyles count="1">
    <cellStyle name="Normal" xfId="0" builtinId="0"/>
  </cellStyles>
  <dxfs count="10">
    <dxf>
      <font>
        <b/>
        <color rgb="FF991B1B"/>
      </font>
      <fill>
        <patternFill>
          <bgColor rgb="FFFEE2E2"/>
        </patternFill>
      </fill>
    </dxf>
    <dxf>
      <font>
        <b/>
        <color rgb="FF854D0E"/>
      </font>
      <fill>
        <patternFill>
          <bgColor rgb="FFFEF3C7"/>
        </patternFill>
      </fill>
    </dxf>
    <dxf>
      <font>
        <b/>
        <color rgb="FF166534"/>
      </font>
      <fill>
        <patternFill>
          <bgColor rgb="FFDCFCE7"/>
        </patternFill>
      </fill>
    </dxf>
    <dxf>
      <font>
        <b/>
        <color rgb="FF991B1B"/>
      </font>
      <fill>
        <patternFill>
          <bgColor rgb="FFFEE2E2"/>
        </patternFill>
      </fill>
    </dxf>
    <dxf>
      <font>
        <b/>
        <color rgb="FF854D0E"/>
      </font>
      <fill>
        <patternFill>
          <bgColor rgb="FFFEF3C7"/>
        </patternFill>
      </fill>
    </dxf>
    <dxf>
      <font>
        <b/>
        <color rgb="FF166534"/>
      </font>
      <fill>
        <patternFill>
          <bgColor rgb="FFDCFCE7"/>
        </patternFill>
      </fill>
    </dxf>
    <dxf>
      <font>
        <b/>
        <color rgb="FF991B1B"/>
      </font>
      <fill>
        <patternFill>
          <bgColor rgb="FFFEE2E2"/>
        </patternFill>
      </fill>
    </dxf>
    <dxf>
      <font>
        <b/>
        <color rgb="FF9A3412"/>
      </font>
      <fill>
        <patternFill>
          <bgColor rgb="FFFFEDD5"/>
        </patternFill>
      </fill>
    </dxf>
    <dxf>
      <font>
        <b/>
        <color rgb="FF854D0E"/>
      </font>
      <fill>
        <patternFill>
          <bgColor rgb="FFFEF3C7"/>
        </patternFill>
      </fill>
    </dxf>
    <dxf>
      <font>
        <b/>
        <color rgb="FF166534"/>
      </font>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Điểm thành phần của Hà Nội</a:t>
            </a:r>
          </a:p>
        </c:rich>
      </c:tx>
      <c:overlay val="0"/>
    </c:title>
    <c:autoTitleDeleted val="0"/>
    <c:plotArea>
      <c:layout/>
      <c:barChart>
        <c:barDir val="bar"/>
        <c:grouping val="clustered"/>
        <c:varyColors val="0"/>
        <c:ser>
          <c:idx val="0"/>
          <c:order val="0"/>
          <c:tx>
            <c:v>Điểm 0-100</c:v>
          </c:tx>
          <c:invertIfNegative val="1"/>
          <c:cat>
            <c:strRef>
              <c:f>'Tổng quan'!$A$12:$A$18</c:f>
              <c:strCache>
                <c:ptCount val="7"/>
                <c:pt idx="0">
                  <c:v>PM2.5</c:v>
                </c:pt>
                <c:pt idx="1">
                  <c:v>Nhiệt độ</c:v>
                </c:pt>
                <c:pt idx="2">
                  <c:v>Tiếng ồn</c:v>
                </c:pt>
                <c:pt idx="3">
                  <c:v>Mật độ dân số</c:v>
                </c:pt>
                <c:pt idx="4">
                  <c:v>Thiếu không gian xanh</c:v>
                </c:pt>
                <c:pt idx="5">
                  <c:v>Nhóm dễ tổn thương</c:v>
                </c:pt>
                <c:pt idx="6">
                  <c:v>Rủi ro thu nhập</c:v>
                </c:pt>
              </c:strCache>
            </c:strRef>
          </c:cat>
          <c:val>
            <c:numRef>
              <c:f>'Tổng quan'!$B$12:$B$18</c:f>
              <c:numCache>
                <c:formatCode>0.0</c:formatCode>
                <c:ptCount val="7"/>
                <c:pt idx="0">
                  <c:v>90.888888888888886</c:v>
                </c:pt>
                <c:pt idx="1">
                  <c:v>70</c:v>
                </c:pt>
                <c:pt idx="2">
                  <c:v>83.333333333333343</c:v>
                </c:pt>
                <c:pt idx="3">
                  <c:v>45.684444444444452</c:v>
                </c:pt>
                <c:pt idx="4">
                  <c:v>44.800000000000004</c:v>
                </c:pt>
                <c:pt idx="5">
                  <c:v>40</c:v>
                </c:pt>
                <c:pt idx="6">
                  <c:v>40.833333333333336</c:v>
                </c:pt>
              </c:numCache>
            </c:numRef>
          </c:val>
          <c:extLst>
            <c:ext xmlns:c16="http://schemas.microsoft.com/office/drawing/2014/chart" uri="{C3380CC4-5D6E-409C-BE32-E72D297353CC}">
              <c16:uniqueId val="{00000000-7F6C-43E7-A92A-B32F9E94CBE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Điểm HEBI theo thành phố</a:t>
            </a:r>
          </a:p>
        </c:rich>
      </c:tx>
      <c:overlay val="0"/>
    </c:title>
    <c:autoTitleDeleted val="0"/>
    <c:plotArea>
      <c:layout/>
      <c:barChart>
        <c:barDir val="col"/>
        <c:grouping val="clustered"/>
        <c:varyColors val="0"/>
        <c:ser>
          <c:idx val="0"/>
          <c:order val="0"/>
          <c:tx>
            <c:v>Điểm HEBI</c:v>
          </c:tx>
          <c:invertIfNegative val="1"/>
          <c:cat>
            <c:strRef>
              <c:f>'Tổng quan'!$A$23:$A$27</c:f>
              <c:strCache>
                <c:ptCount val="5"/>
                <c:pt idx="0">
                  <c:v>Hà Nội</c:v>
                </c:pt>
                <c:pt idx="1">
                  <c:v>TP. Hồ Chí Minh</c:v>
                </c:pt>
                <c:pt idx="2">
                  <c:v>Đà Nẵng</c:v>
                </c:pt>
                <c:pt idx="3">
                  <c:v>Hải Phòng</c:v>
                </c:pt>
                <c:pt idx="4">
                  <c:v>Cần Thơ</c:v>
                </c:pt>
              </c:strCache>
            </c:strRef>
          </c:cat>
          <c:val>
            <c:numRef>
              <c:f>'Tổng quan'!$B$23:$B$27</c:f>
              <c:numCache>
                <c:formatCode>0.0</c:formatCode>
                <c:ptCount val="5"/>
                <c:pt idx="0">
                  <c:v>70.927444444444447</c:v>
                </c:pt>
                <c:pt idx="1">
                  <c:v>61.997999999999998</c:v>
                </c:pt>
                <c:pt idx="2">
                  <c:v>48.214333333333336</c:v>
                </c:pt>
                <c:pt idx="3">
                  <c:v>49.538333333333334</c:v>
                </c:pt>
                <c:pt idx="4">
                  <c:v>53.431111111111122</c:v>
                </c:pt>
              </c:numCache>
            </c:numRef>
          </c:val>
          <c:extLst>
            <c:ext xmlns:c16="http://schemas.microsoft.com/office/drawing/2014/chart" uri="{C3380CC4-5D6E-409C-BE32-E72D297353CC}">
              <c16:uniqueId val="{00000000-8E53-4DF9-A4E8-4F52DBEA42D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9</xdr:row>
      <xdr:rowOff>0</xdr:rowOff>
    </xdr:from>
    <xdr:to>
      <xdr:col>12</xdr:col>
      <xdr:colOff>0</xdr:colOff>
      <xdr:row>20</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21</xdr:row>
      <xdr:rowOff>0</xdr:rowOff>
    </xdr:from>
    <xdr:to>
      <xdr:col>12</xdr:col>
      <xdr:colOff>0</xdr:colOff>
      <xdr:row>35</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5"/>
  <sheetViews>
    <sheetView topLeftCell="A19" workbookViewId="0">
      <selection activeCell="A46" sqref="A46"/>
    </sheetView>
  </sheetViews>
  <sheetFormatPr defaultRowHeight="13.8"/>
  <cols>
    <col min="1" max="1" width="25" customWidth="1"/>
    <col min="2" max="2" width="16" customWidth="1"/>
    <col min="3" max="3" width="17" customWidth="1"/>
    <col min="4" max="4" width="23" customWidth="1"/>
    <col min="5" max="6" width="14" customWidth="1"/>
    <col min="7" max="12" width="13" customWidth="1"/>
  </cols>
  <sheetData>
    <row r="1" spans="1:12">
      <c r="A1" s="18" t="s">
        <v>0</v>
      </c>
      <c r="B1" s="18"/>
      <c r="C1" s="18"/>
      <c r="D1" s="18"/>
      <c r="E1" s="18"/>
      <c r="F1" s="18"/>
      <c r="G1" s="18"/>
      <c r="H1" s="18"/>
      <c r="I1" s="18"/>
      <c r="J1" s="18"/>
      <c r="K1" s="18"/>
      <c r="L1" s="18"/>
    </row>
    <row r="2" spans="1:12">
      <c r="A2" s="18"/>
      <c r="B2" s="18"/>
      <c r="C2" s="18"/>
      <c r="D2" s="18"/>
      <c r="E2" s="18"/>
      <c r="F2" s="18"/>
      <c r="G2" s="18"/>
      <c r="H2" s="18"/>
      <c r="I2" s="18"/>
      <c r="J2" s="18"/>
      <c r="K2" s="18"/>
      <c r="L2" s="18"/>
    </row>
    <row r="3" spans="1:12" ht="31.95" customHeight="1">
      <c r="A3" s="19" t="s">
        <v>1</v>
      </c>
      <c r="B3" s="19"/>
      <c r="C3" s="19"/>
      <c r="D3" s="19"/>
      <c r="E3" s="19"/>
      <c r="F3" s="19"/>
      <c r="G3" s="19"/>
      <c r="H3" s="19"/>
      <c r="I3" s="19"/>
      <c r="J3" s="19"/>
      <c r="K3" s="19"/>
      <c r="L3" s="19"/>
    </row>
    <row r="5" spans="1:12">
      <c r="A5" s="20" t="s">
        <v>2</v>
      </c>
      <c r="B5" s="20"/>
      <c r="C5" s="20"/>
      <c r="D5" s="20"/>
      <c r="E5" s="20" t="s">
        <v>3</v>
      </c>
      <c r="F5" s="20"/>
      <c r="G5" s="20"/>
      <c r="H5" s="20"/>
      <c r="I5" s="20" t="s">
        <v>4</v>
      </c>
      <c r="J5" s="20"/>
      <c r="K5" s="20"/>
      <c r="L5" s="20"/>
    </row>
    <row r="6" spans="1:12">
      <c r="A6" s="21" t="str">
        <f>CHÍNH!A5</f>
        <v>Hà Nội</v>
      </c>
      <c r="B6" s="21"/>
      <c r="C6" s="21"/>
      <c r="D6" s="21"/>
      <c r="E6" s="22">
        <f>CHÍNH!Y5</f>
        <v>70.927444444444447</v>
      </c>
      <c r="F6" s="22"/>
      <c r="G6" s="22"/>
      <c r="H6" s="22"/>
      <c r="I6" s="23" t="str">
        <f>CHÍNH!Z5</f>
        <v>Cao</v>
      </c>
      <c r="J6" s="23"/>
      <c r="K6" s="23"/>
      <c r="L6" s="23"/>
    </row>
    <row r="7" spans="1:12">
      <c r="A7" s="21"/>
      <c r="B7" s="21"/>
      <c r="C7" s="21"/>
      <c r="D7" s="21"/>
      <c r="E7" s="22"/>
      <c r="F7" s="22"/>
      <c r="G7" s="22"/>
      <c r="H7" s="22"/>
      <c r="I7" s="23"/>
      <c r="J7" s="23"/>
      <c r="K7" s="23"/>
      <c r="L7" s="23"/>
    </row>
    <row r="8" spans="1:12" ht="15.6">
      <c r="A8" s="21"/>
      <c r="B8" s="21"/>
      <c r="C8" s="21"/>
      <c r="D8" s="21"/>
      <c r="E8" s="22"/>
      <c r="F8" s="22"/>
      <c r="G8" s="22"/>
      <c r="H8" s="22"/>
      <c r="I8" s="24" t="str">
        <f>CHÍNH!AA5</f>
        <v>PM2.5</v>
      </c>
      <c r="J8" s="24"/>
      <c r="K8" s="24"/>
      <c r="L8" s="24"/>
    </row>
    <row r="10" spans="1:12">
      <c r="A10" s="20" t="s">
        <v>5</v>
      </c>
      <c r="B10" s="20"/>
      <c r="C10" s="20"/>
      <c r="D10" s="20"/>
      <c r="E10" s="20"/>
      <c r="F10" s="20"/>
    </row>
    <row r="11" spans="1:12">
      <c r="A11" s="1" t="s">
        <v>6</v>
      </c>
      <c r="B11" s="1" t="s">
        <v>7</v>
      </c>
    </row>
    <row r="12" spans="1:12">
      <c r="A12" s="2" t="s">
        <v>8</v>
      </c>
      <c r="B12" s="3">
        <f>CHÍNH!I5</f>
        <v>90.888888888888886</v>
      </c>
    </row>
    <row r="13" spans="1:12">
      <c r="A13" s="2" t="s">
        <v>9</v>
      </c>
      <c r="B13" s="3">
        <f>CHÍNH!J5</f>
        <v>70</v>
      </c>
    </row>
    <row r="14" spans="1:12">
      <c r="A14" s="2" t="s">
        <v>10</v>
      </c>
      <c r="B14" s="3">
        <f>CHÍNH!K5</f>
        <v>83.333333333333343</v>
      </c>
    </row>
    <row r="15" spans="1:12">
      <c r="A15" s="2" t="s">
        <v>11</v>
      </c>
      <c r="B15" s="3">
        <f>CHÍNH!L5</f>
        <v>45.684444444444452</v>
      </c>
    </row>
    <row r="16" spans="1:12">
      <c r="A16" s="2" t="s">
        <v>12</v>
      </c>
      <c r="B16" s="3">
        <f>CHÍNH!M5</f>
        <v>44.800000000000004</v>
      </c>
    </row>
    <row r="17" spans="1:6">
      <c r="A17" s="2" t="s">
        <v>13</v>
      </c>
      <c r="B17" s="3">
        <f>CHÍNH!N5</f>
        <v>40</v>
      </c>
    </row>
    <row r="18" spans="1:6">
      <c r="A18" s="2" t="s">
        <v>14</v>
      </c>
      <c r="B18" s="3">
        <f>CHÍNH!O5</f>
        <v>40.833333333333336</v>
      </c>
    </row>
    <row r="21" spans="1:6">
      <c r="A21" s="20" t="s">
        <v>15</v>
      </c>
      <c r="B21" s="20"/>
      <c r="C21" s="20"/>
      <c r="D21" s="20"/>
      <c r="E21" s="20"/>
      <c r="F21" s="20"/>
    </row>
    <row r="22" spans="1:6">
      <c r="A22" s="1" t="s">
        <v>16</v>
      </c>
      <c r="B22" s="1" t="s">
        <v>17</v>
      </c>
      <c r="C22" s="1" t="s">
        <v>18</v>
      </c>
      <c r="D22" s="1" t="s">
        <v>19</v>
      </c>
      <c r="E22" s="1" t="s">
        <v>20</v>
      </c>
      <c r="F22" s="1" t="s">
        <v>21</v>
      </c>
    </row>
    <row r="23" spans="1:6">
      <c r="A23" s="2" t="str">
        <f>CHÍNH!A5</f>
        <v>Hà Nội</v>
      </c>
      <c r="B23" s="3">
        <f>CHÍNH!Y5</f>
        <v>70.927444444444447</v>
      </c>
      <c r="C23" s="2" t="str">
        <f>CHÍNH!Z5</f>
        <v>Cao</v>
      </c>
      <c r="D23" s="2" t="str">
        <f>CHÍNH!AA5</f>
        <v>PM2.5</v>
      </c>
      <c r="E23" s="2" t="e">
        <f ca="1">CHÍNH!AB5</f>
        <v>#NAME?</v>
      </c>
      <c r="F23" s="3">
        <f>'Dữ liệu đầu vào'!B6</f>
        <v>9</v>
      </c>
    </row>
    <row r="24" spans="1:6">
      <c r="A24" s="2" t="str">
        <f>CHÍNH!A6</f>
        <v>TP. Hồ Chí Minh</v>
      </c>
      <c r="B24" s="3">
        <f>CHÍNH!Y6</f>
        <v>61.997999999999998</v>
      </c>
      <c r="C24" s="2" t="str">
        <f>CHÍNH!Z6</f>
        <v>Cao</v>
      </c>
      <c r="D24" s="2" t="str">
        <f>CHÍNH!AA6</f>
        <v>Tiếng ồn</v>
      </c>
      <c r="E24" s="2" t="e">
        <f ca="1">CHÍNH!AB6</f>
        <v>#NAME?</v>
      </c>
      <c r="F24" s="3">
        <f>'Dữ liệu đầu vào'!B7</f>
        <v>19</v>
      </c>
    </row>
    <row r="25" spans="1:6">
      <c r="A25" s="2" t="str">
        <f>CHÍNH!A7</f>
        <v>Đà Nẵng</v>
      </c>
      <c r="B25" s="3">
        <f>CHÍNH!Y7</f>
        <v>48.214333333333336</v>
      </c>
      <c r="C25" s="2" t="str">
        <f>CHÍNH!Z7</f>
        <v>Trung bình</v>
      </c>
      <c r="D25" s="2" t="str">
        <f>CHÍNH!AA7</f>
        <v>Tiếng ồn</v>
      </c>
      <c r="E25" s="2" t="e">
        <f ca="1">CHÍNH!AB7</f>
        <v>#NAME?</v>
      </c>
      <c r="F25" s="3">
        <f>'Dữ liệu đầu vào'!B8</f>
        <v>7</v>
      </c>
    </row>
    <row r="26" spans="1:6">
      <c r="A26" s="2" t="str">
        <f>CHÍNH!A8</f>
        <v>Hải Phòng</v>
      </c>
      <c r="B26" s="3">
        <f>CHÍNH!Y8</f>
        <v>49.538333333333334</v>
      </c>
      <c r="C26" s="2" t="str">
        <f>CHÍNH!Z8</f>
        <v>Trung bình</v>
      </c>
      <c r="D26" s="2" t="str">
        <f>CHÍNH!AA8</f>
        <v>Tiếng ồn</v>
      </c>
      <c r="E26" s="2" t="e">
        <f ca="1">CHÍNH!AB8</f>
        <v>#NAME?</v>
      </c>
      <c r="F26" s="3">
        <f>'Dữ liệu đầu vào'!B9</f>
        <v>14</v>
      </c>
    </row>
    <row r="27" spans="1:6">
      <c r="A27" s="2" t="str">
        <f>CHÍNH!A9</f>
        <v>Cần Thơ</v>
      </c>
      <c r="B27" s="3">
        <f>CHÍNH!Y9</f>
        <v>53.431111111111122</v>
      </c>
      <c r="C27" s="2" t="str">
        <f>CHÍNH!Z9</f>
        <v>Trung bình</v>
      </c>
      <c r="D27" s="2" t="str">
        <f>CHÍNH!AA9</f>
        <v>PM2.5</v>
      </c>
      <c r="E27" s="2" t="e">
        <f ca="1">CHÍNH!AB9</f>
        <v>#NAME?</v>
      </c>
      <c r="F27" s="3">
        <f>'Dữ liệu đầu vào'!B10</f>
        <v>19</v>
      </c>
    </row>
    <row r="30" spans="1:6">
      <c r="A30" s="20" t="s">
        <v>22</v>
      </c>
      <c r="B30" s="20"/>
      <c r="C30" s="20"/>
      <c r="D30" s="20"/>
      <c r="E30" s="20"/>
      <c r="F30" s="20"/>
    </row>
    <row r="31" spans="1:6" ht="19.2" customHeight="1">
      <c r="A31" s="25" t="s">
        <v>23</v>
      </c>
      <c r="B31" s="25"/>
      <c r="C31" s="25"/>
      <c r="D31" s="25"/>
      <c r="E31" s="25"/>
      <c r="F31" s="25"/>
    </row>
    <row r="32" spans="1:6" ht="19.2" customHeight="1">
      <c r="A32" s="25"/>
      <c r="B32" s="25"/>
      <c r="C32" s="25"/>
      <c r="D32" s="25"/>
      <c r="E32" s="25"/>
      <c r="F32" s="25"/>
    </row>
    <row r="33" spans="1:12" ht="19.2" customHeight="1">
      <c r="A33" s="25"/>
      <c r="B33" s="25"/>
      <c r="C33" s="25"/>
      <c r="D33" s="25"/>
      <c r="E33" s="25"/>
      <c r="F33" s="25"/>
    </row>
    <row r="34" spans="1:12" ht="19.2" customHeight="1">
      <c r="A34" s="25"/>
      <c r="B34" s="25"/>
      <c r="C34" s="25"/>
      <c r="D34" s="25"/>
      <c r="E34" s="25"/>
      <c r="F34" s="25"/>
    </row>
    <row r="35" spans="1:12" ht="19.2" customHeight="1">
      <c r="A35" s="25"/>
      <c r="B35" s="25"/>
      <c r="C35" s="25"/>
      <c r="D35" s="25"/>
      <c r="E35" s="25"/>
      <c r="F35" s="25"/>
    </row>
    <row r="37" spans="1:12">
      <c r="A37" s="26" t="s">
        <v>24</v>
      </c>
      <c r="B37" s="26"/>
      <c r="C37" s="26"/>
      <c r="D37" s="26"/>
      <c r="E37" s="26"/>
      <c r="F37" s="26"/>
      <c r="G37" s="26"/>
      <c r="H37" s="26"/>
      <c r="I37" s="26"/>
      <c r="J37" s="26"/>
      <c r="K37" s="26"/>
      <c r="L37" s="26"/>
    </row>
    <row r="38" spans="1:12" ht="33.6" customHeight="1">
      <c r="A38" s="27" t="str">
        <f>CHÍNH!AC5</f>
        <v>Ưu tiên giảm phơi nhiễm và phát thải bụi mịn PM2.5.</v>
      </c>
      <c r="B38" s="27"/>
      <c r="C38" s="27"/>
      <c r="D38" s="27"/>
      <c r="E38" s="27"/>
      <c r="F38" s="27"/>
      <c r="G38" s="27"/>
      <c r="H38" s="27"/>
      <c r="I38" s="27"/>
      <c r="J38" s="27"/>
      <c r="K38" s="27"/>
      <c r="L38" s="27"/>
    </row>
    <row r="40" spans="1:12" ht="24" customHeight="1">
      <c r="A40" s="28" t="str">
        <f>CHÍNH!AG5</f>
        <v>Tác nhân chính: PM2.5. Ưu tiên giảm phơi nhiễm và phát thải bụi mịn PM2.5. Tăng giám sát chất lượng không khí tại trường học, bệnh viện và khu dân cư đông đúc. Phát cảnh báo sức khỏe trong các ngày có nồng độ PM2.5 cao.</v>
      </c>
      <c r="B40" s="28"/>
      <c r="C40" s="28"/>
      <c r="D40" s="28"/>
      <c r="E40" s="28"/>
      <c r="F40" s="28"/>
      <c r="G40" s="28"/>
      <c r="H40" s="28"/>
      <c r="I40" s="28"/>
      <c r="J40" s="28"/>
      <c r="K40" s="28"/>
      <c r="L40" s="28"/>
    </row>
    <row r="41" spans="1:12" ht="24" customHeight="1">
      <c r="A41" s="28"/>
      <c r="B41" s="28"/>
      <c r="C41" s="28"/>
      <c r="D41" s="28"/>
      <c r="E41" s="28"/>
      <c r="F41" s="28"/>
      <c r="G41" s="28"/>
      <c r="H41" s="28"/>
      <c r="I41" s="28"/>
      <c r="J41" s="28"/>
      <c r="K41" s="28"/>
      <c r="L41" s="28"/>
    </row>
    <row r="42" spans="1:12" ht="24" customHeight="1">
      <c r="A42" s="28"/>
      <c r="B42" s="28"/>
      <c r="C42" s="28"/>
      <c r="D42" s="28"/>
      <c r="E42" s="28"/>
      <c r="F42" s="28"/>
      <c r="G42" s="28"/>
      <c r="H42" s="28"/>
      <c r="I42" s="28"/>
      <c r="J42" s="28"/>
      <c r="K42" s="28"/>
      <c r="L42" s="28"/>
    </row>
    <row r="43" spans="1:12" ht="24" customHeight="1">
      <c r="A43" s="28"/>
      <c r="B43" s="28"/>
      <c r="C43" s="28"/>
      <c r="D43" s="28"/>
      <c r="E43" s="28"/>
      <c r="F43" s="28"/>
      <c r="G43" s="28"/>
      <c r="H43" s="28"/>
      <c r="I43" s="28"/>
      <c r="J43" s="28"/>
      <c r="K43" s="28"/>
      <c r="L43" s="28"/>
    </row>
    <row r="45" spans="1:12" ht="25.65" customHeight="1">
      <c r="A45" s="29" t="s">
        <v>25</v>
      </c>
      <c r="B45" s="29"/>
      <c r="C45" s="29"/>
      <c r="D45" s="29"/>
      <c r="E45" s="29"/>
      <c r="F45" s="29"/>
      <c r="G45" s="29"/>
      <c r="H45" s="29"/>
      <c r="I45" s="29"/>
      <c r="J45" s="29"/>
      <c r="K45" s="29"/>
      <c r="L45" s="29"/>
    </row>
  </sheetData>
  <mergeCells count="20">
    <mergeCell ref="A45:L45"/>
    <mergeCell ref="A38:C38"/>
    <mergeCell ref="D38:F38"/>
    <mergeCell ref="G38:I38"/>
    <mergeCell ref="J38:L38"/>
    <mergeCell ref="A40:L43"/>
    <mergeCell ref="A10:F10"/>
    <mergeCell ref="A21:F21"/>
    <mergeCell ref="A30:F30"/>
    <mergeCell ref="A31:F35"/>
    <mergeCell ref="A37:L37"/>
    <mergeCell ref="A1:L2"/>
    <mergeCell ref="A3:L3"/>
    <mergeCell ref="A5:D5"/>
    <mergeCell ref="A6:D8"/>
    <mergeCell ref="E5:H5"/>
    <mergeCell ref="E6:H8"/>
    <mergeCell ref="I5:L5"/>
    <mergeCell ref="I6:L7"/>
    <mergeCell ref="I8:L8"/>
  </mergeCells>
  <conditionalFormatting sqref="B12:B18">
    <cfRule type="dataBar" priority="1">
      <dataBar>
        <cfvo type="min"/>
        <cfvo type="max"/>
        <color rgb="FF2563EB"/>
      </dataBar>
    </cfRule>
    <cfRule type="dataBar" priority="4">
      <dataBar>
        <cfvo type="min"/>
        <cfvo type="max"/>
        <color rgb="FF2563EB"/>
      </dataBar>
      <extLst>
        <ext xmlns:x14="http://schemas.microsoft.com/office/spreadsheetml/2009/9/main" uri="{B025F937-C7B1-47D3-B67F-A62EFF666E3E}">
          <x14:id>{7206B24D-F59B-69D9-FE0C-7DADBDCA6F55}</x14:id>
        </ext>
      </extLst>
    </cfRule>
  </conditionalFormatting>
  <conditionalFormatting sqref="B23:B27">
    <cfRule type="colorScale" priority="2">
      <colorScale>
        <cfvo type="min"/>
        <cfvo type="percentile" val="50"/>
        <cfvo type="max"/>
        <color rgb="FFDCFCE7"/>
        <color rgb="FFFEF3C7"/>
        <color rgb="FFFCA5A5"/>
      </colorScale>
    </cfRule>
    <cfRule type="dataBar" priority="3">
      <dataBar>
        <cfvo type="min"/>
        <cfvo type="max"/>
        <color rgb="FF2563EB"/>
      </dataBar>
    </cfRule>
    <cfRule type="dataBar" priority="5">
      <dataBar>
        <cfvo type="min"/>
        <cfvo type="max"/>
        <color rgb="FF2563EB"/>
      </dataBar>
      <extLst>
        <ext xmlns:x14="http://schemas.microsoft.com/office/spreadsheetml/2009/9/main" uri="{B025F937-C7B1-47D3-B67F-A62EFF666E3E}">
          <x14:id>{6B592648-CA59-4DDD-179F-DE37D3F87A57}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206B24D-F59B-69D9-FE0C-7DADBDCA6F55}">
            <x14:dataBar>
              <x14:cfvo type="min"/>
              <x14:cfvo type="max"/>
              <x14:negativeFillColor auto="1"/>
              <x14:axisColor auto="1"/>
            </x14:dataBar>
          </x14:cfRule>
          <xm:sqref>B12:B18</xm:sqref>
        </x14:conditionalFormatting>
        <x14:conditionalFormatting xmlns:xm="http://schemas.microsoft.com/office/excel/2006/main">
          <x14:cfRule type="dataBar" id="{6B592648-CA59-4DDD-179F-DE37D3F87A57}">
            <x14:dataBar>
              <x14:cfvo type="min"/>
              <x14:cfvo type="max"/>
              <x14:negativeFillColor auto="1"/>
              <x14:axisColor auto="1"/>
            </x14:dataBar>
          </x14:cfRule>
          <xm:sqref>B23:B27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
  <sheetViews>
    <sheetView workbookViewId="0"/>
  </sheetViews>
  <sheetFormatPr defaultRowHeight="13.8"/>
  <cols>
    <col min="1" max="1" width="22" customWidth="1"/>
    <col min="2" max="5" width="16" customWidth="1"/>
    <col min="6" max="6" width="15" customWidth="1"/>
    <col min="7" max="7" width="18" customWidth="1"/>
    <col min="8" max="10" width="17" customWidth="1"/>
    <col min="11" max="11" width="28" customWidth="1"/>
    <col min="12" max="12" width="18" customWidth="1"/>
    <col min="13" max="14" width="12" customWidth="1"/>
  </cols>
  <sheetData>
    <row r="1" spans="1:14" ht="16.8" customHeight="1">
      <c r="A1" s="18" t="s">
        <v>26</v>
      </c>
      <c r="B1" s="18"/>
      <c r="C1" s="18"/>
      <c r="D1" s="18"/>
      <c r="E1" s="18"/>
      <c r="F1" s="18"/>
      <c r="G1" s="18"/>
      <c r="H1" s="18"/>
      <c r="I1" s="18"/>
      <c r="J1" s="18"/>
      <c r="K1" s="18"/>
      <c r="L1" s="18"/>
      <c r="M1" s="18"/>
      <c r="N1" s="18"/>
    </row>
    <row r="2" spans="1:14" ht="16.8" customHeight="1">
      <c r="A2" s="18"/>
      <c r="B2" s="18"/>
      <c r="C2" s="18"/>
      <c r="D2" s="18"/>
      <c r="E2" s="18"/>
      <c r="F2" s="18"/>
      <c r="G2" s="18"/>
      <c r="H2" s="18"/>
      <c r="I2" s="18"/>
      <c r="J2" s="18"/>
      <c r="K2" s="18"/>
      <c r="L2" s="18"/>
      <c r="M2" s="18"/>
      <c r="N2" s="18"/>
    </row>
    <row r="3" spans="1:14" ht="36" customHeight="1">
      <c r="A3" s="30" t="s">
        <v>27</v>
      </c>
      <c r="B3" s="30"/>
      <c r="C3" s="30"/>
      <c r="D3" s="30"/>
      <c r="E3" s="30"/>
      <c r="F3" s="30"/>
      <c r="G3" s="30"/>
      <c r="H3" s="30"/>
      <c r="I3" s="30"/>
      <c r="J3" s="30"/>
      <c r="K3" s="30"/>
      <c r="L3" s="30"/>
      <c r="M3" s="30"/>
      <c r="N3" s="30"/>
    </row>
    <row r="4" spans="1:14" ht="16.8" customHeight="1"/>
    <row r="5" spans="1:14" ht="38.4" customHeight="1">
      <c r="A5" s="1" t="s">
        <v>16</v>
      </c>
      <c r="B5" s="1" t="s">
        <v>28</v>
      </c>
      <c r="C5" s="1" t="s">
        <v>29</v>
      </c>
      <c r="D5" s="1" t="s">
        <v>30</v>
      </c>
      <c r="E5" s="1" t="s">
        <v>31</v>
      </c>
      <c r="F5" s="1" t="s">
        <v>32</v>
      </c>
      <c r="G5" s="1" t="s">
        <v>33</v>
      </c>
      <c r="H5" s="1" t="s">
        <v>34</v>
      </c>
      <c r="I5" s="1" t="s">
        <v>35</v>
      </c>
      <c r="J5" s="1" t="s">
        <v>36</v>
      </c>
      <c r="K5" s="1" t="s">
        <v>37</v>
      </c>
      <c r="L5" s="1" t="s">
        <v>38</v>
      </c>
      <c r="M5" s="1" t="s">
        <v>39</v>
      </c>
      <c r="N5" s="1" t="s">
        <v>40</v>
      </c>
    </row>
    <row r="6" spans="1:14" ht="16.8" customHeight="1">
      <c r="A6" s="2" t="s">
        <v>41</v>
      </c>
      <c r="B6" s="3">
        <v>9</v>
      </c>
      <c r="C6" s="3">
        <v>33</v>
      </c>
      <c r="D6" s="3">
        <v>45.9</v>
      </c>
      <c r="E6" s="3">
        <v>37</v>
      </c>
      <c r="F6" s="6">
        <v>75</v>
      </c>
      <c r="G6" s="4">
        <v>2555.8000000000002</v>
      </c>
      <c r="H6" s="3">
        <v>5.52</v>
      </c>
      <c r="I6" s="6">
        <v>28</v>
      </c>
      <c r="J6" s="6">
        <v>151</v>
      </c>
      <c r="K6" s="5" t="s">
        <v>42</v>
      </c>
      <c r="L6" s="5" t="s">
        <v>43</v>
      </c>
      <c r="M6" s="2">
        <v>21.028500000000001</v>
      </c>
      <c r="N6" s="2">
        <v>105.85420000000001</v>
      </c>
    </row>
    <row r="7" spans="1:14" ht="16.8" customHeight="1">
      <c r="A7" s="2" t="s">
        <v>44</v>
      </c>
      <c r="B7" s="3">
        <v>19</v>
      </c>
      <c r="C7" s="3">
        <v>32</v>
      </c>
      <c r="D7" s="3">
        <v>28</v>
      </c>
      <c r="E7" s="3">
        <v>35</v>
      </c>
      <c r="F7" s="6">
        <v>78</v>
      </c>
      <c r="G7" s="4">
        <v>4513.1000000000004</v>
      </c>
      <c r="H7" s="3">
        <v>2.4</v>
      </c>
      <c r="I7" s="6">
        <v>25</v>
      </c>
      <c r="J7" s="6">
        <v>170</v>
      </c>
      <c r="K7" s="5" t="s">
        <v>42</v>
      </c>
      <c r="L7" s="5" t="s">
        <v>45</v>
      </c>
      <c r="M7" s="2">
        <v>10.8231</v>
      </c>
      <c r="N7" s="2">
        <v>106.6297</v>
      </c>
    </row>
    <row r="8" spans="1:14" ht="16.8" customHeight="1">
      <c r="A8" s="2" t="s">
        <v>46</v>
      </c>
      <c r="B8" s="3">
        <v>7</v>
      </c>
      <c r="C8" s="3">
        <v>34</v>
      </c>
      <c r="D8" s="3">
        <v>19.899999999999999</v>
      </c>
      <c r="E8" s="3">
        <v>36</v>
      </c>
      <c r="F8" s="6">
        <v>70</v>
      </c>
      <c r="G8" s="4">
        <v>969.2</v>
      </c>
      <c r="H8" s="3">
        <v>2.4</v>
      </c>
      <c r="I8" s="6">
        <v>27</v>
      </c>
      <c r="J8" s="6">
        <v>119</v>
      </c>
      <c r="K8" s="5" t="s">
        <v>47</v>
      </c>
      <c r="L8" s="5" t="s">
        <v>43</v>
      </c>
      <c r="M8" s="2">
        <v>16.054400000000001</v>
      </c>
      <c r="N8" s="2">
        <v>108.2022</v>
      </c>
    </row>
    <row r="9" spans="1:14" ht="16.8" customHeight="1">
      <c r="A9" s="2" t="s">
        <v>48</v>
      </c>
      <c r="B9" s="3">
        <v>14</v>
      </c>
      <c r="C9" s="3">
        <v>31</v>
      </c>
      <c r="D9" s="3">
        <v>25</v>
      </c>
      <c r="E9" s="3">
        <v>35</v>
      </c>
      <c r="F9" s="6">
        <v>72</v>
      </c>
      <c r="G9" s="4">
        <v>1379</v>
      </c>
      <c r="H9" s="6">
        <v>3.8</v>
      </c>
      <c r="I9" s="6">
        <v>30</v>
      </c>
      <c r="J9" s="6">
        <v>173</v>
      </c>
      <c r="K9" s="5" t="s">
        <v>49</v>
      </c>
      <c r="L9" s="5" t="s">
        <v>45</v>
      </c>
      <c r="M9" s="2">
        <v>20.844899999999999</v>
      </c>
      <c r="N9" s="2">
        <v>106.68810000000001</v>
      </c>
    </row>
    <row r="10" spans="1:14" ht="16.8" customHeight="1">
      <c r="A10" s="2" t="s">
        <v>50</v>
      </c>
      <c r="B10" s="3">
        <v>19</v>
      </c>
      <c r="C10" s="3">
        <v>34</v>
      </c>
      <c r="D10" s="3">
        <v>30</v>
      </c>
      <c r="E10" s="3">
        <v>35.5</v>
      </c>
      <c r="F10" s="6">
        <v>68</v>
      </c>
      <c r="G10" s="4">
        <v>874</v>
      </c>
      <c r="H10" s="6">
        <v>4.5</v>
      </c>
      <c r="I10" s="6">
        <v>32</v>
      </c>
      <c r="J10" s="6">
        <v>96</v>
      </c>
      <c r="K10" s="5" t="s">
        <v>49</v>
      </c>
      <c r="L10" s="5" t="s">
        <v>45</v>
      </c>
      <c r="M10" s="2">
        <v>10.045199999999999</v>
      </c>
      <c r="N10" s="2">
        <v>105.7469</v>
      </c>
    </row>
  </sheetData>
  <mergeCells count="2">
    <mergeCell ref="A1:N2"/>
    <mergeCell ref="A3:N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9"/>
  <sheetViews>
    <sheetView tabSelected="1" workbookViewId="0">
      <selection activeCell="D11" sqref="D11"/>
    </sheetView>
  </sheetViews>
  <sheetFormatPr defaultRowHeight="13.8"/>
  <cols>
    <col min="1" max="1" width="21" customWidth="1"/>
    <col min="2" max="22" width="15" customWidth="1"/>
    <col min="23" max="25" width="16" customWidth="1"/>
    <col min="26" max="26" width="14" customWidth="1"/>
    <col min="27" max="27" width="23" customWidth="1"/>
    <col min="28" max="28" width="11" customWidth="1"/>
    <col min="29" max="29" width="42" customWidth="1"/>
    <col min="30" max="31" width="48" customWidth="1"/>
    <col min="32" max="32" width="55" customWidth="1"/>
    <col min="33" max="33" width="80" customWidth="1"/>
    <col min="34" max="35" width="40" customWidth="1"/>
    <col min="36" max="36" width="50" customWidth="1"/>
    <col min="37" max="37" width="18" customWidth="1"/>
    <col min="38" max="38" width="80" customWidth="1"/>
  </cols>
  <sheetData>
    <row r="1" spans="1:38">
      <c r="A1" s="18" t="s">
        <v>51</v>
      </c>
      <c r="B1" s="18"/>
      <c r="C1" s="18"/>
      <c r="D1" s="18"/>
      <c r="E1" s="18"/>
      <c r="F1" s="18"/>
      <c r="G1" s="18"/>
      <c r="H1" s="18"/>
      <c r="I1" s="18"/>
      <c r="J1" s="18"/>
      <c r="K1" s="18"/>
      <c r="L1" s="18"/>
      <c r="M1" s="18"/>
      <c r="N1" s="18"/>
      <c r="O1" s="18"/>
      <c r="P1" s="18"/>
      <c r="Q1" s="18"/>
      <c r="R1" s="18"/>
      <c r="S1" s="18"/>
      <c r="T1" s="18"/>
      <c r="U1" s="18"/>
      <c r="V1" s="18"/>
      <c r="W1" s="18"/>
      <c r="X1" s="18"/>
      <c r="Y1" s="18"/>
      <c r="Z1" s="18"/>
      <c r="AA1" s="18"/>
      <c r="AB1" s="18"/>
    </row>
    <row r="2" spans="1:38">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row>
    <row r="4" spans="1:38" ht="41.55" customHeight="1">
      <c r="A4" s="1" t="s">
        <v>16</v>
      </c>
      <c r="B4" s="1" t="s">
        <v>52</v>
      </c>
      <c r="C4" s="1" t="s">
        <v>53</v>
      </c>
      <c r="D4" s="1" t="s">
        <v>10</v>
      </c>
      <c r="E4" s="1" t="s">
        <v>11</v>
      </c>
      <c r="F4" s="1" t="s">
        <v>54</v>
      </c>
      <c r="G4" s="1" t="s">
        <v>13</v>
      </c>
      <c r="H4" s="1" t="s">
        <v>55</v>
      </c>
      <c r="I4" s="1" t="s">
        <v>56</v>
      </c>
      <c r="J4" s="1" t="s">
        <v>57</v>
      </c>
      <c r="K4" s="1" t="s">
        <v>58</v>
      </c>
      <c r="L4" s="1" t="s">
        <v>59</v>
      </c>
      <c r="M4" s="1" t="s">
        <v>60</v>
      </c>
      <c r="N4" s="1" t="s">
        <v>61</v>
      </c>
      <c r="O4" s="1" t="s">
        <v>62</v>
      </c>
      <c r="P4" s="1" t="s">
        <v>63</v>
      </c>
      <c r="Q4" s="1" t="s">
        <v>64</v>
      </c>
      <c r="R4" s="1" t="s">
        <v>65</v>
      </c>
      <c r="S4" s="1" t="s">
        <v>66</v>
      </c>
      <c r="T4" s="1" t="s">
        <v>67</v>
      </c>
      <c r="U4" s="1" t="s">
        <v>68</v>
      </c>
      <c r="V4" s="1" t="s">
        <v>69</v>
      </c>
      <c r="W4" s="1" t="s">
        <v>70</v>
      </c>
      <c r="X4" s="1" t="s">
        <v>71</v>
      </c>
      <c r="Y4" s="1" t="s">
        <v>17</v>
      </c>
      <c r="Z4" s="1" t="s">
        <v>18</v>
      </c>
      <c r="AA4" s="1" t="s">
        <v>19</v>
      </c>
      <c r="AB4" s="1" t="s">
        <v>20</v>
      </c>
      <c r="AC4" s="16" t="s">
        <v>72</v>
      </c>
      <c r="AD4" s="16" t="s">
        <v>73</v>
      </c>
      <c r="AE4" s="16" t="s">
        <v>74</v>
      </c>
      <c r="AF4" s="16" t="s">
        <v>75</v>
      </c>
      <c r="AG4" s="16" t="s">
        <v>76</v>
      </c>
      <c r="AH4" s="14"/>
      <c r="AI4" s="14"/>
      <c r="AJ4" s="14"/>
      <c r="AK4" s="14"/>
      <c r="AL4" s="14"/>
    </row>
    <row r="5" spans="1:38" ht="41.4">
      <c r="A5" s="2" t="str">
        <f>'Dữ liệu đầu vào'!A6</f>
        <v>Hà Nội</v>
      </c>
      <c r="B5" s="3">
        <f>'Dữ liệu đầu vào'!D6</f>
        <v>45.9</v>
      </c>
      <c r="C5" s="3">
        <f>'Dữ liệu đầu vào'!E6</f>
        <v>37</v>
      </c>
      <c r="D5" s="3">
        <f>'Dữ liệu đầu vào'!F6</f>
        <v>75</v>
      </c>
      <c r="E5" s="3">
        <f>'Dữ liệu đầu vào'!G6</f>
        <v>2555.8000000000002</v>
      </c>
      <c r="F5" s="3">
        <f>'Dữ liệu đầu vào'!H6</f>
        <v>5.52</v>
      </c>
      <c r="G5" s="3">
        <f>'Dữ liệu đầu vào'!I6</f>
        <v>28</v>
      </c>
      <c r="H5" s="3">
        <f>'Dữ liệu đầu vào'!J6</f>
        <v>151</v>
      </c>
      <c r="I5" s="3">
        <f>MAX(0,MIN(100,(B5-'Công thức &amp; trọng số'!$E$6)/('Công thức &amp; trọng số'!$F$6-'Công thức &amp; trọng số'!$E$6)*100))</f>
        <v>90.888888888888886</v>
      </c>
      <c r="J5" s="3">
        <f>MAX(0,MIN(100,(C5-'Công thức &amp; trọng số'!$E$7)/('Công thức &amp; trọng số'!$F$7-'Công thức &amp; trọng số'!$E$7)*100))</f>
        <v>70</v>
      </c>
      <c r="K5" s="3">
        <f>MAX(0,MIN(100,(D5-'Công thức &amp; trọng số'!$E$8)/('Công thức &amp; trọng số'!$F$8-'Công thức &amp; trọng số'!$E$8)*100))</f>
        <v>83.333333333333343</v>
      </c>
      <c r="L5" s="3">
        <f>MAX(0,MIN(100,(E5-'Công thức &amp; trọng số'!$E$9)/('Công thức &amp; trọng số'!$F$9-'Công thức &amp; trọng số'!$E$9)*100))</f>
        <v>45.684444444444452</v>
      </c>
      <c r="M5" s="3">
        <f>MAX(0,MIN(100,('Công thức &amp; trọng số'!$F$10-F5)/('Công thức &amp; trọng số'!$F$10-'Công thức &amp; trọng số'!$E$10)*100))</f>
        <v>44.800000000000004</v>
      </c>
      <c r="N5" s="3">
        <f>MAX(0,MIN(100,(G5-'Công thức &amp; trọng số'!$E$11)/('Công thức &amp; trọng số'!$F$11-'Công thức &amp; trọng số'!$E$11)*100))</f>
        <v>40</v>
      </c>
      <c r="O5" s="3">
        <f>MAX(0,MIN(100,('Công thức &amp; trọng số'!$F$12-H5)/('Công thức &amp; trọng số'!$F$12-'Công thức &amp; trọng số'!$E$12)*100))</f>
        <v>40.833333333333336</v>
      </c>
      <c r="P5" s="3">
        <f>I5*'Công thức &amp; trọng số'!$G$6</f>
        <v>27.266666666666666</v>
      </c>
      <c r="Q5" s="3">
        <f>J5*'Công thức &amp; trọng số'!$G$7</f>
        <v>14</v>
      </c>
      <c r="R5" s="3">
        <f>K5*'Công thức &amp; trọng số'!$G$8</f>
        <v>16.666666666666668</v>
      </c>
      <c r="S5" s="3">
        <f>L5*'Công thức &amp; trọng số'!$G$9</f>
        <v>4.5684444444444452</v>
      </c>
      <c r="T5" s="3">
        <f>M5*'Công thức &amp; trọng số'!$G$10</f>
        <v>3.5840000000000005</v>
      </c>
      <c r="U5" s="3">
        <f>N5*'Công thức &amp; trọng số'!$G$11</f>
        <v>2.8000000000000003</v>
      </c>
      <c r="V5" s="3">
        <f>O5*'Công thức &amp; trọng số'!$G$12</f>
        <v>2.041666666666667</v>
      </c>
      <c r="W5" s="3">
        <f>SUM(P5:R5)/SUM('Công thức &amp; trọng số'!$G$6:$G$8)</f>
        <v>82.761904761904773</v>
      </c>
      <c r="X5" s="3">
        <f>SUM(S5:V5)/SUM('Công thức &amp; trọng số'!$G$9:$G$12)</f>
        <v>43.313703703703716</v>
      </c>
      <c r="Y5" s="3">
        <f>SUM(P5:V5)</f>
        <v>70.927444444444447</v>
      </c>
      <c r="Z5" s="2" t="str">
        <f>IF(Y5&lt;40,"Thấp",IF(Y5&lt;60,"Trung bình",IF(Y5&lt;75,"Cao","Rất cao")))</f>
        <v>Cao</v>
      </c>
      <c r="AA5" s="2" t="str">
        <f>IF(P5=MAX(P5:V5),"PM2.5",IF(Q5=MAX(P5:V5),"Nhiệt độ",IF(R5=MAX(P5:V5),"Tiếng ồn",IF(S5=MAX(P5:V5),"Mật độ dân số",IF(T5=MAX(P5:V5),"Thiếu không gian xanh",IF(U5=MAX(P5:V5),"Nhóm dễ tổn thương","Rủi ro thu nhập"))))))</f>
        <v>PM2.5</v>
      </c>
      <c r="AB5" s="13" t="e">
        <f ca="1">_xludf.RANK.EQ(Y5,$Y$5:$Y$9,0)</f>
        <v>#NAME?</v>
      </c>
      <c r="AC5" s="17" t="str">
        <f>VLOOKUP(AA5,'Thư viện khuyến nghị'!$A$6:$E$12,2,FALSE)</f>
        <v>Ưu tiên giảm phơi nhiễm và phát thải bụi mịn PM2.5.</v>
      </c>
      <c r="AD5" s="15" t="str">
        <f>VLOOKUP(AA5,'Thư viện khuyến nghị'!$A$6:$E$12,3,FALSE)</f>
        <v>Tăng giám sát chất lượng không khí tại trường học, bệnh viện và khu dân cư đông đúc.</v>
      </c>
      <c r="AE5" s="15" t="str">
        <f>VLOOKUP(AA5,'Thư viện khuyến nghị'!$A$6:$E$12,4,FALSE)</f>
        <v>Phát cảnh báo sức khỏe trong các ngày có nồng độ PM2.5 cao.</v>
      </c>
      <c r="AF5" s="15" t="str">
        <f>VLOOKUP(AA5,'Thư viện khuyến nghị'!$A$6:$E$12,5,FALSE)</f>
        <v>PM2.5 là yếu tố đóng góp lớn nhất vào gánh nặng môi trường của thành phố.</v>
      </c>
      <c r="AG5" s="15" t="str">
        <f>"Tác nhân chính: "&amp;AA5&amp;". "&amp;AC5&amp;" "&amp;AD5&amp;" "&amp;AE5</f>
        <v>Tác nhân chính: PM2.5. Ưu tiên giảm phơi nhiễm và phát thải bụi mịn PM2.5. Tăng giám sát chất lượng không khí tại trường học, bệnh viện và khu dân cư đông đúc. Phát cảnh báo sức khỏe trong các ngày có nồng độ PM2.5 cao.</v>
      </c>
      <c r="AH5" s="15"/>
      <c r="AI5" s="15"/>
      <c r="AJ5" s="15"/>
      <c r="AK5" s="15"/>
      <c r="AL5" s="15"/>
    </row>
    <row r="6" spans="1:38" ht="41.4">
      <c r="A6" s="2" t="str">
        <f>'Dữ liệu đầu vào'!A7</f>
        <v>TP. Hồ Chí Minh</v>
      </c>
      <c r="B6" s="3">
        <f>'Dữ liệu đầu vào'!D7</f>
        <v>28</v>
      </c>
      <c r="C6" s="3">
        <f>'Dữ liệu đầu vào'!E7</f>
        <v>35</v>
      </c>
      <c r="D6" s="3">
        <f>'Dữ liệu đầu vào'!F7</f>
        <v>78</v>
      </c>
      <c r="E6" s="3">
        <f>'Dữ liệu đầu vào'!G7</f>
        <v>4513.1000000000004</v>
      </c>
      <c r="F6" s="3">
        <f>'Dữ liệu đầu vào'!H7</f>
        <v>2.4</v>
      </c>
      <c r="G6" s="3">
        <f>'Dữ liệu đầu vào'!I7</f>
        <v>25</v>
      </c>
      <c r="H6" s="3">
        <f>'Dữ liệu đầu vào'!J7</f>
        <v>170</v>
      </c>
      <c r="I6" s="3">
        <f>MAX(0,MIN(100,(B6-'Công thức &amp; trọng số'!$E$6)/('Công thức &amp; trọng số'!$F$6-'Công thức &amp; trọng số'!$E$6)*100))</f>
        <v>51.111111111111107</v>
      </c>
      <c r="J6" s="3">
        <f>MAX(0,MIN(100,(C6-'Công thức &amp; trọng số'!$E$7)/('Công thức &amp; trọng số'!$F$7-'Công thức &amp; trọng số'!$E$7)*100))</f>
        <v>50</v>
      </c>
      <c r="K6" s="3">
        <f>MAX(0,MIN(100,(D6-'Công thức &amp; trọng số'!$E$8)/('Công thức &amp; trọng số'!$F$8-'Công thức &amp; trọng số'!$E$8)*100))</f>
        <v>93.333333333333329</v>
      </c>
      <c r="L6" s="3">
        <f>MAX(0,MIN(100,(E6-'Công thức &amp; trọng số'!$E$9)/('Công thức &amp; trọng số'!$F$9-'Công thức &amp; trọng số'!$E$9)*100))</f>
        <v>89.18</v>
      </c>
      <c r="M6" s="3">
        <f>MAX(0,MIN(100,('Công thức &amp; trọng số'!$F$10-F6)/('Công thức &amp; trọng số'!$F$10-'Công thức &amp; trọng số'!$E$10)*100))</f>
        <v>76</v>
      </c>
      <c r="N6" s="3">
        <f>MAX(0,MIN(100,(G6-'Công thức &amp; trọng số'!$E$11)/('Công thức &amp; trọng số'!$F$11-'Công thức &amp; trọng số'!$E$11)*100))</f>
        <v>25</v>
      </c>
      <c r="O6" s="3">
        <f>MAX(0,MIN(100,('Công thức &amp; trọng số'!$F$12-H6)/('Công thức &amp; trọng số'!$F$12-'Công thức &amp; trọng số'!$E$12)*100))</f>
        <v>25</v>
      </c>
      <c r="P6" s="3">
        <f>I6*'Công thức &amp; trọng số'!$G$6</f>
        <v>15.333333333333332</v>
      </c>
      <c r="Q6" s="3">
        <f>J6*'Công thức &amp; trọng số'!$G$7</f>
        <v>10</v>
      </c>
      <c r="R6" s="3">
        <f>K6*'Công thức &amp; trọng số'!$G$8</f>
        <v>18.666666666666668</v>
      </c>
      <c r="S6" s="3">
        <f>L6*'Công thức &amp; trọng số'!$G$9</f>
        <v>8.918000000000001</v>
      </c>
      <c r="T6" s="3">
        <f>M6*'Công thức &amp; trọng số'!$G$10</f>
        <v>6.08</v>
      </c>
      <c r="U6" s="3">
        <f>N6*'Công thức &amp; trọng số'!$G$11</f>
        <v>1.7500000000000002</v>
      </c>
      <c r="V6" s="3">
        <f>O6*'Công thức &amp; trọng số'!$G$12</f>
        <v>1.25</v>
      </c>
      <c r="W6" s="3">
        <f>SUM(P6:R6)/SUM('Công thức &amp; trọng số'!$G$6:$G$8)</f>
        <v>62.857142857142861</v>
      </c>
      <c r="X6" s="3">
        <f>SUM(S6:V6)/SUM('Công thức &amp; trọng số'!$G$9:$G$12)</f>
        <v>59.993333333333339</v>
      </c>
      <c r="Y6" s="3">
        <f>SUM(P6:V6)</f>
        <v>61.997999999999998</v>
      </c>
      <c r="Z6" s="2" t="str">
        <f>IF(Y6&lt;40,"Thấp",IF(Y6&lt;60,"Trung bình",IF(Y6&lt;75,"Cao","Rất cao")))</f>
        <v>Cao</v>
      </c>
      <c r="AA6" s="2" t="str">
        <f>IF(P6=MAX(P6:V6),"PM2.5",IF(Q6=MAX(P6:V6),"Nhiệt độ",IF(R6=MAX(P6:V6),"Tiếng ồn",IF(S6=MAX(P6:V6),"Mật độ dân số",IF(T6=MAX(P6:V6),"Thiếu không gian xanh",IF(U6=MAX(P6:V6),"Nhóm dễ tổn thương","Rủi ro thu nhập"))))))</f>
        <v>Tiếng ồn</v>
      </c>
      <c r="AB6" s="13" t="e">
        <f ca="1">_xludf.RANK.EQ(Y6,$Y$5:$Y$9,0)</f>
        <v>#NAME?</v>
      </c>
      <c r="AC6" s="17" t="str">
        <f>VLOOKUP(AA6,'Thư viện khuyến nghị'!$A$6:$E$12,2,FALSE)</f>
        <v>Ưu tiên kiểm soát tiếng ồn giao thông và xây dựng.</v>
      </c>
      <c r="AD6" s="15" t="str">
        <f>VLOOKUP(AA6,'Thư viện khuyến nghị'!$A$6:$E$12,3,FALSE)</f>
        <v>Theo dõi tiếng ồn tại các trục đường lớn, trường học và bệnh viện.</v>
      </c>
      <c r="AE6" s="15" t="str">
        <f>VLOOKUP(AA6,'Thư viện khuyến nghị'!$A$6:$E$12,4,FALSE)</f>
        <v>Hạn chế còi xe và hoạt động gây ồn tại các khung giờ nhạy cảm.</v>
      </c>
      <c r="AF6" s="15" t="str">
        <f>VLOOKUP(AA6,'Thư viện khuyến nghị'!$A$6:$E$12,5,FALSE)</f>
        <v>Tiếng ồn là yếu tố đóng góp lớn nhất vào gánh nặng môi trường của thành phố.</v>
      </c>
      <c r="AG6" s="15" t="str">
        <f>"Tác nhân chính: "&amp;AA6&amp;". "&amp;AC6&amp;" "&amp;AD6&amp;" "&amp;AE6</f>
        <v>Tác nhân chính: Tiếng ồn. Ưu tiên kiểm soát tiếng ồn giao thông và xây dựng. Theo dõi tiếng ồn tại các trục đường lớn, trường học và bệnh viện. Hạn chế còi xe và hoạt động gây ồn tại các khung giờ nhạy cảm.</v>
      </c>
      <c r="AH6" s="15"/>
      <c r="AI6" s="15"/>
      <c r="AJ6" s="15"/>
      <c r="AK6" s="15"/>
      <c r="AL6" s="15"/>
    </row>
    <row r="7" spans="1:38" ht="41.4">
      <c r="A7" s="2" t="str">
        <f>'Dữ liệu đầu vào'!A8</f>
        <v>Đà Nẵng</v>
      </c>
      <c r="B7" s="3">
        <f>'Dữ liệu đầu vào'!D8</f>
        <v>19.899999999999999</v>
      </c>
      <c r="C7" s="3">
        <f>'Dữ liệu đầu vào'!E8</f>
        <v>36</v>
      </c>
      <c r="D7" s="3">
        <f>'Dữ liệu đầu vào'!F8</f>
        <v>70</v>
      </c>
      <c r="E7" s="3">
        <f>'Dữ liệu đầu vào'!G8</f>
        <v>969.2</v>
      </c>
      <c r="F7" s="3">
        <f>'Dữ liệu đầu vào'!H8</f>
        <v>2.4</v>
      </c>
      <c r="G7" s="3">
        <f>'Dữ liệu đầu vào'!I8</f>
        <v>27</v>
      </c>
      <c r="H7" s="3">
        <f>'Dữ liệu đầu vào'!J8</f>
        <v>119</v>
      </c>
      <c r="I7" s="3">
        <f>MAX(0,MIN(100,(B7-'Công thức &amp; trọng số'!$E$6)/('Công thức &amp; trọng số'!$F$6-'Công thức &amp; trọng số'!$E$6)*100))</f>
        <v>33.111111111111107</v>
      </c>
      <c r="J7" s="3">
        <f>MAX(0,MIN(100,(C7-'Công thức &amp; trọng số'!$E$7)/('Công thức &amp; trọng số'!$F$7-'Công thức &amp; trọng số'!$E$7)*100))</f>
        <v>60</v>
      </c>
      <c r="K7" s="3">
        <f>MAX(0,MIN(100,(D7-'Công thức &amp; trọng số'!$E$8)/('Công thức &amp; trọng số'!$F$8-'Công thức &amp; trọng số'!$E$8)*100))</f>
        <v>66.666666666666657</v>
      </c>
      <c r="L7" s="3">
        <f>MAX(0,MIN(100,(E7-'Công thức &amp; trọng số'!$E$9)/('Công thức &amp; trọng số'!$F$9-'Công thức &amp; trọng số'!$E$9)*100))</f>
        <v>10.426666666666668</v>
      </c>
      <c r="M7" s="3">
        <f>MAX(0,MIN(100,('Công thức &amp; trọng số'!$F$10-F7)/('Công thức &amp; trọng số'!$F$10-'Công thức &amp; trọng số'!$E$10)*100))</f>
        <v>76</v>
      </c>
      <c r="N7" s="3">
        <f>MAX(0,MIN(100,(G7-'Công thức &amp; trọng số'!$E$11)/('Công thức &amp; trọng số'!$F$11-'Công thức &amp; trọng số'!$E$11)*100))</f>
        <v>35</v>
      </c>
      <c r="O7" s="3">
        <f>MAX(0,MIN(100,('Công thức &amp; trọng số'!$F$12-H7)/('Công thức &amp; trọng số'!$F$12-'Công thức &amp; trọng số'!$E$12)*100))</f>
        <v>67.5</v>
      </c>
      <c r="P7" s="3">
        <f>I7*'Công thức &amp; trọng số'!$G$6</f>
        <v>9.9333333333333318</v>
      </c>
      <c r="Q7" s="3">
        <f>J7*'Công thức &amp; trọng số'!$G$7</f>
        <v>12</v>
      </c>
      <c r="R7" s="3">
        <f>K7*'Công thức &amp; trọng số'!$G$8</f>
        <v>13.333333333333332</v>
      </c>
      <c r="S7" s="3">
        <f>L7*'Công thức &amp; trọng số'!$G$9</f>
        <v>1.0426666666666669</v>
      </c>
      <c r="T7" s="3">
        <f>M7*'Công thức &amp; trọng số'!$G$10</f>
        <v>6.08</v>
      </c>
      <c r="U7" s="3">
        <f>N7*'Công thức &amp; trọng số'!$G$11</f>
        <v>2.4500000000000002</v>
      </c>
      <c r="V7" s="3">
        <f>O7*'Công thức &amp; trọng số'!$G$12</f>
        <v>3.375</v>
      </c>
      <c r="W7" s="3">
        <f>SUM(P7:R7)/SUM('Công thức &amp; trọng số'!$G$6:$G$8)</f>
        <v>50.38095238095238</v>
      </c>
      <c r="X7" s="3">
        <f>SUM(S7:V7)/SUM('Công thức &amp; trọng số'!$G$9:$G$12)</f>
        <v>43.158888888888889</v>
      </c>
      <c r="Y7" s="3">
        <f>SUM(P7:V7)</f>
        <v>48.214333333333336</v>
      </c>
      <c r="Z7" s="2" t="str">
        <f>IF(Y7&lt;40,"Thấp",IF(Y7&lt;60,"Trung bình",IF(Y7&lt;75,"Cao","Rất cao")))</f>
        <v>Trung bình</v>
      </c>
      <c r="AA7" s="2" t="str">
        <f>IF(P7=MAX(P7:V7),"PM2.5",IF(Q7=MAX(P7:V7),"Nhiệt độ",IF(R7=MAX(P7:V7),"Tiếng ồn",IF(S7=MAX(P7:V7),"Mật độ dân số",IF(T7=MAX(P7:V7),"Thiếu không gian xanh",IF(U7=MAX(P7:V7),"Nhóm dễ tổn thương","Rủi ro thu nhập"))))))</f>
        <v>Tiếng ồn</v>
      </c>
      <c r="AB7" s="13" t="e">
        <f ca="1">_xludf.RANK.EQ(Y7,$Y$5:$Y$9,0)</f>
        <v>#NAME?</v>
      </c>
      <c r="AC7" s="17" t="str">
        <f>VLOOKUP(AA7,'Thư viện khuyến nghị'!$A$6:$E$12,2,FALSE)</f>
        <v>Ưu tiên kiểm soát tiếng ồn giao thông và xây dựng.</v>
      </c>
      <c r="AD7" s="15" t="str">
        <f>VLOOKUP(AA7,'Thư viện khuyến nghị'!$A$6:$E$12,3,FALSE)</f>
        <v>Theo dõi tiếng ồn tại các trục đường lớn, trường học và bệnh viện.</v>
      </c>
      <c r="AE7" s="15" t="str">
        <f>VLOOKUP(AA7,'Thư viện khuyến nghị'!$A$6:$E$12,4,FALSE)</f>
        <v>Hạn chế còi xe và hoạt động gây ồn tại các khung giờ nhạy cảm.</v>
      </c>
      <c r="AF7" s="15" t="str">
        <f>VLOOKUP(AA7,'Thư viện khuyến nghị'!$A$6:$E$12,5,FALSE)</f>
        <v>Tiếng ồn là yếu tố đóng góp lớn nhất vào gánh nặng môi trường của thành phố.</v>
      </c>
      <c r="AG7" s="15" t="str">
        <f>"Tác nhân chính: "&amp;AA7&amp;". "&amp;AC7&amp;" "&amp;AD7&amp;" "&amp;AE7</f>
        <v>Tác nhân chính: Tiếng ồn. Ưu tiên kiểm soát tiếng ồn giao thông và xây dựng. Theo dõi tiếng ồn tại các trục đường lớn, trường học và bệnh viện. Hạn chế còi xe và hoạt động gây ồn tại các khung giờ nhạy cảm.</v>
      </c>
      <c r="AH7" s="15"/>
      <c r="AI7" s="15"/>
      <c r="AJ7" s="15"/>
      <c r="AK7" s="15"/>
      <c r="AL7" s="15"/>
    </row>
    <row r="8" spans="1:38" ht="41.4">
      <c r="A8" s="2" t="str">
        <f>'Dữ liệu đầu vào'!A9</f>
        <v>Hải Phòng</v>
      </c>
      <c r="B8" s="3">
        <f>'Dữ liệu đầu vào'!D9</f>
        <v>25</v>
      </c>
      <c r="C8" s="3">
        <f>'Dữ liệu đầu vào'!E9</f>
        <v>35</v>
      </c>
      <c r="D8" s="3">
        <f>'Dữ liệu đầu vào'!F9</f>
        <v>72</v>
      </c>
      <c r="E8" s="3">
        <f>'Dữ liệu đầu vào'!G9</f>
        <v>1379</v>
      </c>
      <c r="F8" s="3">
        <f>'Dữ liệu đầu vào'!H9</f>
        <v>3.8</v>
      </c>
      <c r="G8" s="3">
        <f>'Dữ liệu đầu vào'!I9</f>
        <v>30</v>
      </c>
      <c r="H8" s="3">
        <f>'Dữ liệu đầu vào'!J9</f>
        <v>173</v>
      </c>
      <c r="I8" s="3">
        <f>MAX(0,MIN(100,(B8-'Công thức &amp; trọng số'!$E$6)/('Công thức &amp; trọng số'!$F$6-'Công thức &amp; trọng số'!$E$6)*100))</f>
        <v>44.444444444444443</v>
      </c>
      <c r="J8" s="3">
        <f>MAX(0,MIN(100,(C8-'Công thức &amp; trọng số'!$E$7)/('Công thức &amp; trọng số'!$F$7-'Công thức &amp; trọng số'!$E$7)*100))</f>
        <v>50</v>
      </c>
      <c r="K8" s="3">
        <f>MAX(0,MIN(100,(D8-'Công thức &amp; trọng số'!$E$8)/('Công thức &amp; trọng số'!$F$8-'Công thức &amp; trọng số'!$E$8)*100))</f>
        <v>73.333333333333329</v>
      </c>
      <c r="L8" s="3">
        <f>MAX(0,MIN(100,(E8-'Công thức &amp; trọng số'!$E$9)/('Công thức &amp; trọng số'!$F$9-'Công thức &amp; trọng số'!$E$9)*100))</f>
        <v>19.533333333333331</v>
      </c>
      <c r="M8" s="3">
        <f>MAX(0,MIN(100,('Công thức &amp; trọng số'!$F$10-F8)/('Công thức &amp; trọng số'!$F$10-'Công thức &amp; trọng số'!$E$10)*100))</f>
        <v>62</v>
      </c>
      <c r="N8" s="3">
        <f>MAX(0,MIN(100,(G8-'Công thức &amp; trọng số'!$E$11)/('Công thức &amp; trọng số'!$F$11-'Công thức &amp; trọng số'!$E$11)*100))</f>
        <v>50</v>
      </c>
      <c r="O8" s="3">
        <f>MAX(0,MIN(100,('Công thức &amp; trọng số'!$F$12-H8)/('Công thức &amp; trọng số'!$F$12-'Công thức &amp; trọng số'!$E$12)*100))</f>
        <v>22.5</v>
      </c>
      <c r="P8" s="3">
        <f>I8*'Công thức &amp; trọng số'!$G$6</f>
        <v>13.333333333333332</v>
      </c>
      <c r="Q8" s="3">
        <f>J8*'Công thức &amp; trọng số'!$G$7</f>
        <v>10</v>
      </c>
      <c r="R8" s="3">
        <f>K8*'Công thức &amp; trọng số'!$G$8</f>
        <v>14.666666666666666</v>
      </c>
      <c r="S8" s="3">
        <f>L8*'Công thức &amp; trọng số'!$G$9</f>
        <v>1.9533333333333331</v>
      </c>
      <c r="T8" s="3">
        <f>M8*'Công thức &amp; trọng số'!$G$10</f>
        <v>4.96</v>
      </c>
      <c r="U8" s="3">
        <f>N8*'Công thức &amp; trọng số'!$G$11</f>
        <v>3.5000000000000004</v>
      </c>
      <c r="V8" s="3">
        <f>O8*'Công thức &amp; trọng số'!$G$12</f>
        <v>1.125</v>
      </c>
      <c r="W8" s="3">
        <f>SUM(P8:R8)/SUM('Công thức &amp; trọng số'!$G$6:$G$8)</f>
        <v>54.285714285714292</v>
      </c>
      <c r="X8" s="3">
        <f>SUM(S8:V8)/SUM('Công thức &amp; trọng số'!$G$9:$G$12)</f>
        <v>38.461111111111116</v>
      </c>
      <c r="Y8" s="3">
        <f>SUM(P8:V8)</f>
        <v>49.538333333333334</v>
      </c>
      <c r="Z8" s="2" t="str">
        <f>IF(Y8&lt;40,"Thấp",IF(Y8&lt;60,"Trung bình",IF(Y8&lt;75,"Cao","Rất cao")))</f>
        <v>Trung bình</v>
      </c>
      <c r="AA8" s="2" t="str">
        <f>IF(P8=MAX(P8:V8),"PM2.5",IF(Q8=MAX(P8:V8),"Nhiệt độ",IF(R8=MAX(P8:V8),"Tiếng ồn",IF(S8=MAX(P8:V8),"Mật độ dân số",IF(T8=MAX(P8:V8),"Thiếu không gian xanh",IF(U8=MAX(P8:V8),"Nhóm dễ tổn thương","Rủi ro thu nhập"))))))</f>
        <v>Tiếng ồn</v>
      </c>
      <c r="AB8" s="13" t="e">
        <f ca="1">_xludf.RANK.EQ(Y8,$Y$5:$Y$9,0)</f>
        <v>#NAME?</v>
      </c>
      <c r="AC8" s="17" t="str">
        <f>VLOOKUP(AA8,'Thư viện khuyến nghị'!$A$6:$E$12,2,FALSE)</f>
        <v>Ưu tiên kiểm soát tiếng ồn giao thông và xây dựng.</v>
      </c>
      <c r="AD8" s="15" t="str">
        <f>VLOOKUP(AA8,'Thư viện khuyến nghị'!$A$6:$E$12,3,FALSE)</f>
        <v>Theo dõi tiếng ồn tại các trục đường lớn, trường học và bệnh viện.</v>
      </c>
      <c r="AE8" s="15" t="str">
        <f>VLOOKUP(AA8,'Thư viện khuyến nghị'!$A$6:$E$12,4,FALSE)</f>
        <v>Hạn chế còi xe và hoạt động gây ồn tại các khung giờ nhạy cảm.</v>
      </c>
      <c r="AF8" s="15" t="str">
        <f>VLOOKUP(AA8,'Thư viện khuyến nghị'!$A$6:$E$12,5,FALSE)</f>
        <v>Tiếng ồn là yếu tố đóng góp lớn nhất vào gánh nặng môi trường của thành phố.</v>
      </c>
      <c r="AG8" s="15" t="str">
        <f>"Tác nhân chính: "&amp;AA8&amp;". "&amp;AC8&amp;" "&amp;AD8&amp;" "&amp;AE8</f>
        <v>Tác nhân chính: Tiếng ồn. Ưu tiên kiểm soát tiếng ồn giao thông và xây dựng. Theo dõi tiếng ồn tại các trục đường lớn, trường học và bệnh viện. Hạn chế còi xe và hoạt động gây ồn tại các khung giờ nhạy cảm.</v>
      </c>
      <c r="AH8" s="15"/>
      <c r="AI8" s="15"/>
      <c r="AJ8" s="15"/>
      <c r="AK8" s="15"/>
      <c r="AL8" s="15"/>
    </row>
    <row r="9" spans="1:38" ht="41.4">
      <c r="A9" s="2" t="str">
        <f>'Dữ liệu đầu vào'!A10</f>
        <v>Cần Thơ</v>
      </c>
      <c r="B9" s="3">
        <f>'Dữ liệu đầu vào'!D10</f>
        <v>30</v>
      </c>
      <c r="C9" s="3">
        <f>'Dữ liệu đầu vào'!E10</f>
        <v>35.5</v>
      </c>
      <c r="D9" s="3">
        <f>'Dữ liệu đầu vào'!F10</f>
        <v>68</v>
      </c>
      <c r="E9" s="3">
        <f>'Dữ liệu đầu vào'!G10</f>
        <v>874</v>
      </c>
      <c r="F9" s="3">
        <f>'Dữ liệu đầu vào'!H10</f>
        <v>4.5</v>
      </c>
      <c r="G9" s="3">
        <f>'Dữ liệu đầu vào'!I10</f>
        <v>32</v>
      </c>
      <c r="H9" s="3">
        <f>'Dữ liệu đầu vào'!J10</f>
        <v>96</v>
      </c>
      <c r="I9" s="3">
        <f>MAX(0,MIN(100,(B9-'Công thức &amp; trọng số'!$E$6)/('Công thức &amp; trọng số'!$F$6-'Công thức &amp; trọng số'!$E$6)*100))</f>
        <v>55.555555555555557</v>
      </c>
      <c r="J9" s="3">
        <f>MAX(0,MIN(100,(C9-'Công thức &amp; trọng số'!$E$7)/('Công thức &amp; trọng số'!$F$7-'Công thức &amp; trọng số'!$E$7)*100))</f>
        <v>55.000000000000007</v>
      </c>
      <c r="K9" s="3">
        <f>MAX(0,MIN(100,(D9-'Công thức &amp; trọng số'!$E$8)/('Công thức &amp; trọng số'!$F$8-'Công thức &amp; trọng số'!$E$8)*100))</f>
        <v>60</v>
      </c>
      <c r="L9" s="3">
        <f>MAX(0,MIN(100,(E9-'Công thức &amp; trọng số'!$E$9)/('Công thức &amp; trọng số'!$F$9-'Công thức &amp; trọng số'!$E$9)*100))</f>
        <v>8.31111111111111</v>
      </c>
      <c r="M9" s="3">
        <f>MAX(0,MIN(100,('Công thức &amp; trọng số'!$F$10-F9)/('Công thức &amp; trọng số'!$F$10-'Công thức &amp; trọng số'!$E$10)*100))</f>
        <v>55.000000000000007</v>
      </c>
      <c r="N9" s="3">
        <f>MAX(0,MIN(100,(G9-'Công thức &amp; trọng số'!$E$11)/('Công thức &amp; trọng số'!$F$11-'Công thức &amp; trọng số'!$E$11)*100))</f>
        <v>60</v>
      </c>
      <c r="O9" s="3">
        <f>MAX(0,MIN(100,('Công thức &amp; trọng số'!$F$12-H9)/('Công thức &amp; trọng số'!$F$12-'Công thức &amp; trọng số'!$E$12)*100))</f>
        <v>86.666666666666671</v>
      </c>
      <c r="P9" s="3">
        <f>I9*'Công thức &amp; trọng số'!$G$6</f>
        <v>16.666666666666668</v>
      </c>
      <c r="Q9" s="3">
        <f>J9*'Công thức &amp; trọng số'!$G$7</f>
        <v>11.000000000000002</v>
      </c>
      <c r="R9" s="3">
        <f>K9*'Công thức &amp; trọng số'!$G$8</f>
        <v>12</v>
      </c>
      <c r="S9" s="3">
        <f>L9*'Công thức &amp; trọng số'!$G$9</f>
        <v>0.83111111111111102</v>
      </c>
      <c r="T9" s="3">
        <f>M9*'Công thức &amp; trọng số'!$G$10</f>
        <v>4.4000000000000004</v>
      </c>
      <c r="U9" s="3">
        <f>N9*'Công thức &amp; trọng số'!$G$11</f>
        <v>4.2</v>
      </c>
      <c r="V9" s="3">
        <f>O9*'Công thức &amp; trọng số'!$G$12</f>
        <v>4.3333333333333339</v>
      </c>
      <c r="W9" s="3">
        <f>SUM(P9:R9)/SUM('Công thức &amp; trọng số'!$G$6:$G$8)</f>
        <v>56.666666666666679</v>
      </c>
      <c r="X9" s="3">
        <f>SUM(S9:V9)/SUM('Công thức &amp; trọng số'!$G$9:$G$12)</f>
        <v>45.881481481481487</v>
      </c>
      <c r="Y9" s="3">
        <f>SUM(P9:V9)</f>
        <v>53.431111111111122</v>
      </c>
      <c r="Z9" s="2" t="str">
        <f>IF(Y9&lt;40,"Thấp",IF(Y9&lt;60,"Trung bình",IF(Y9&lt;75,"Cao","Rất cao")))</f>
        <v>Trung bình</v>
      </c>
      <c r="AA9" s="2" t="str">
        <f>IF(P9=MAX(P9:V9),"PM2.5",IF(Q9=MAX(P9:V9),"Nhiệt độ",IF(R9=MAX(P9:V9),"Tiếng ồn",IF(S9=MAX(P9:V9),"Mật độ dân số",IF(T9=MAX(P9:V9),"Thiếu không gian xanh",IF(U9=MAX(P9:V9),"Nhóm dễ tổn thương","Rủi ro thu nhập"))))))</f>
        <v>PM2.5</v>
      </c>
      <c r="AB9" s="13" t="e">
        <f ca="1">_xludf.RANK.EQ(Y9,$Y$5:$Y$9,0)</f>
        <v>#NAME?</v>
      </c>
      <c r="AC9" s="17" t="str">
        <f>VLOOKUP(AA9,'Thư viện khuyến nghị'!$A$6:$E$12,2,FALSE)</f>
        <v>Ưu tiên giảm phơi nhiễm và phát thải bụi mịn PM2.5.</v>
      </c>
      <c r="AD9" s="15" t="str">
        <f>VLOOKUP(AA9,'Thư viện khuyến nghị'!$A$6:$E$12,3,FALSE)</f>
        <v>Tăng giám sát chất lượng không khí tại trường học, bệnh viện và khu dân cư đông đúc.</v>
      </c>
      <c r="AE9" s="15" t="str">
        <f>VLOOKUP(AA9,'Thư viện khuyến nghị'!$A$6:$E$12,4,FALSE)</f>
        <v>Phát cảnh báo sức khỏe trong các ngày có nồng độ PM2.5 cao.</v>
      </c>
      <c r="AF9" s="15" t="str">
        <f>VLOOKUP(AA9,'Thư viện khuyến nghị'!$A$6:$E$12,5,FALSE)</f>
        <v>PM2.5 là yếu tố đóng góp lớn nhất vào gánh nặng môi trường của thành phố.</v>
      </c>
      <c r="AG9" s="15" t="str">
        <f>"Tác nhân chính: "&amp;AA9&amp;". "&amp;AC9&amp;" "&amp;AD9&amp;" "&amp;AE9</f>
        <v>Tác nhân chính: PM2.5. Ưu tiên giảm phơi nhiễm và phát thải bụi mịn PM2.5. Tăng giám sát chất lượng không khí tại trường học, bệnh viện và khu dân cư đông đúc. Phát cảnh báo sức khỏe trong các ngày có nồng độ PM2.5 cao.</v>
      </c>
      <c r="AH9" s="15"/>
      <c r="AI9" s="15"/>
      <c r="AJ9" s="15"/>
      <c r="AK9" s="15"/>
      <c r="AL9" s="15"/>
    </row>
  </sheetData>
  <mergeCells count="1">
    <mergeCell ref="A1:AB2"/>
  </mergeCells>
  <conditionalFormatting sqref="Y5:Y9">
    <cfRule type="colorScale" priority="1">
      <colorScale>
        <cfvo type="min"/>
        <cfvo type="percentile" val="50"/>
        <cfvo type="max"/>
        <color rgb="FFDCFCE7"/>
        <color rgb="FFFEF3C7"/>
        <color rgb="FFFCA5A5"/>
      </colorScale>
    </cfRule>
    <cfRule type="dataBar" priority="2">
      <dataBar>
        <cfvo type="min"/>
        <cfvo type="max"/>
        <color rgb="FF2563EB"/>
      </dataBar>
    </cfRule>
    <cfRule type="dataBar" priority="10">
      <dataBar>
        <cfvo type="min"/>
        <cfvo type="max"/>
        <color rgb="FF2563EB"/>
      </dataBar>
      <extLst>
        <ext xmlns:x14="http://schemas.microsoft.com/office/spreadsheetml/2009/9/main" uri="{B025F937-C7B1-47D3-B67F-A62EFF666E3E}">
          <x14:id>{01D25194-D4A3-43B3-6BAA-185863EA2D57}</x14:id>
        </ext>
      </extLst>
    </cfRule>
  </conditionalFormatting>
  <conditionalFormatting sqref="Z5:Z9">
    <cfRule type="expression" dxfId="9" priority="3">
      <formula>Z5="Thấp"</formula>
    </cfRule>
    <cfRule type="expression" dxfId="8" priority="4">
      <formula>Z5="Trung bình"</formula>
    </cfRule>
    <cfRule type="expression" dxfId="7" priority="5">
      <formula>Z5="Cao"</formula>
    </cfRule>
    <cfRule type="expression" dxfId="6" priority="6">
      <formula>Z5="Rất cao"</formula>
    </cfRule>
  </conditionalFormatting>
  <conditionalFormatting sqref="AD5:AD9">
    <cfRule type="expression" dxfId="5" priority="7">
      <formula>AD5="Theo dõi"</formula>
    </cfRule>
    <cfRule type="expression" dxfId="4" priority="8">
      <formula>AD5="Cần chú ý"</formula>
    </cfRule>
    <cfRule type="expression" dxfId="3" priority="9">
      <formula>AD5="Ưu tiên"</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1D25194-D4A3-43B3-6BAA-185863EA2D57}">
            <x14:dataBar>
              <x14:cfvo type="min"/>
              <x14:cfvo type="max"/>
              <x14:negativeFillColor auto="1"/>
              <x14:axisColor auto="1"/>
            </x14:dataBar>
          </x14:cfRule>
          <xm:sqref>Y5:Y9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0"/>
  <sheetViews>
    <sheetView topLeftCell="A5" workbookViewId="0">
      <selection activeCell="E20" sqref="E20"/>
    </sheetView>
  </sheetViews>
  <sheetFormatPr defaultRowHeight="13.8"/>
  <cols>
    <col min="1" max="1" width="23" customWidth="1"/>
    <col min="2" max="2" width="22" customWidth="1"/>
    <col min="3" max="3" width="16" customWidth="1"/>
    <col min="4" max="4" width="20" customWidth="1"/>
    <col min="5" max="7" width="13" customWidth="1"/>
    <col min="8" max="8" width="42" customWidth="1"/>
    <col min="9" max="9" width="45" customWidth="1"/>
  </cols>
  <sheetData>
    <row r="1" spans="1:9">
      <c r="A1" s="18" t="s">
        <v>77</v>
      </c>
      <c r="B1" s="18"/>
      <c r="C1" s="18"/>
      <c r="D1" s="18"/>
      <c r="E1" s="18"/>
      <c r="F1" s="18"/>
      <c r="G1" s="18"/>
      <c r="H1" s="18"/>
      <c r="I1" s="18"/>
    </row>
    <row r="2" spans="1:9">
      <c r="A2" s="18"/>
      <c r="B2" s="18"/>
      <c r="C2" s="18"/>
      <c r="D2" s="18"/>
      <c r="E2" s="18"/>
      <c r="F2" s="18"/>
      <c r="G2" s="18"/>
      <c r="H2" s="18"/>
      <c r="I2" s="18"/>
    </row>
    <row r="3" spans="1:9" ht="31.95" customHeight="1">
      <c r="A3" s="19" t="s">
        <v>284</v>
      </c>
      <c r="B3" s="19"/>
      <c r="C3" s="19"/>
      <c r="D3" s="19"/>
      <c r="E3" s="19"/>
      <c r="F3" s="19"/>
      <c r="G3" s="19"/>
      <c r="H3" s="19"/>
      <c r="I3" s="19"/>
    </row>
    <row r="5" spans="1:9" ht="31.95" customHeight="1">
      <c r="A5" s="1" t="s">
        <v>6</v>
      </c>
      <c r="B5" s="1" t="s">
        <v>78</v>
      </c>
      <c r="C5" s="1" t="s">
        <v>79</v>
      </c>
      <c r="D5" s="1" t="s">
        <v>80</v>
      </c>
      <c r="E5" s="1" t="s">
        <v>81</v>
      </c>
      <c r="F5" s="1" t="s">
        <v>82</v>
      </c>
      <c r="G5" s="1" t="s">
        <v>83</v>
      </c>
      <c r="H5" s="1" t="s">
        <v>84</v>
      </c>
      <c r="I5" s="1" t="s">
        <v>85</v>
      </c>
    </row>
    <row r="6" spans="1:9" ht="43.95" customHeight="1">
      <c r="A6" s="5" t="s">
        <v>8</v>
      </c>
      <c r="B6" s="5" t="s">
        <v>86</v>
      </c>
      <c r="C6" s="5" t="s">
        <v>87</v>
      </c>
      <c r="D6" s="5" t="s">
        <v>88</v>
      </c>
      <c r="E6" s="5">
        <v>5</v>
      </c>
      <c r="F6" s="5">
        <v>50</v>
      </c>
      <c r="G6" s="12">
        <v>0.3</v>
      </c>
      <c r="H6" s="5" t="s">
        <v>89</v>
      </c>
      <c r="I6" s="5" t="s">
        <v>90</v>
      </c>
    </row>
    <row r="7" spans="1:9" ht="43.95" customHeight="1">
      <c r="A7" s="5" t="s">
        <v>91</v>
      </c>
      <c r="B7" s="5" t="s">
        <v>86</v>
      </c>
      <c r="C7" s="5" t="s">
        <v>92</v>
      </c>
      <c r="D7" s="5" t="s">
        <v>88</v>
      </c>
      <c r="E7" s="5">
        <v>30</v>
      </c>
      <c r="F7" s="5">
        <v>40</v>
      </c>
      <c r="G7" s="12">
        <v>0.2</v>
      </c>
      <c r="H7" s="5" t="s">
        <v>93</v>
      </c>
      <c r="I7" s="5" t="s">
        <v>94</v>
      </c>
    </row>
    <row r="8" spans="1:9" ht="43.95" customHeight="1">
      <c r="A8" s="5" t="s">
        <v>95</v>
      </c>
      <c r="B8" s="5" t="s">
        <v>86</v>
      </c>
      <c r="C8" s="5" t="s">
        <v>96</v>
      </c>
      <c r="D8" s="5" t="s">
        <v>88</v>
      </c>
      <c r="E8" s="5">
        <v>50</v>
      </c>
      <c r="F8" s="5">
        <v>80</v>
      </c>
      <c r="G8" s="12">
        <v>0.2</v>
      </c>
      <c r="H8" s="5" t="s">
        <v>97</v>
      </c>
      <c r="I8" s="5" t="s">
        <v>98</v>
      </c>
    </row>
    <row r="9" spans="1:9" ht="43.95" customHeight="1">
      <c r="A9" s="5" t="s">
        <v>11</v>
      </c>
      <c r="B9" s="5" t="s">
        <v>99</v>
      </c>
      <c r="C9" s="5" t="s">
        <v>100</v>
      </c>
      <c r="D9" s="5" t="s">
        <v>88</v>
      </c>
      <c r="E9" s="5">
        <v>500</v>
      </c>
      <c r="F9" s="5">
        <v>5000</v>
      </c>
      <c r="G9" s="12">
        <v>0.1</v>
      </c>
      <c r="H9" s="5" t="s">
        <v>101</v>
      </c>
      <c r="I9" s="5" t="s">
        <v>102</v>
      </c>
    </row>
    <row r="10" spans="1:9" ht="43.95" customHeight="1">
      <c r="A10" s="5" t="s">
        <v>54</v>
      </c>
      <c r="B10" s="5" t="s">
        <v>99</v>
      </c>
      <c r="C10" s="5" t="s">
        <v>103</v>
      </c>
      <c r="D10" s="5" t="s">
        <v>104</v>
      </c>
      <c r="E10" s="5">
        <v>0</v>
      </c>
      <c r="F10" s="5">
        <v>10</v>
      </c>
      <c r="G10" s="12">
        <v>0.08</v>
      </c>
      <c r="H10" s="5" t="s">
        <v>105</v>
      </c>
      <c r="I10" s="5" t="s">
        <v>106</v>
      </c>
    </row>
    <row r="11" spans="1:9" ht="43.95" customHeight="1">
      <c r="A11" s="5" t="s">
        <v>13</v>
      </c>
      <c r="B11" s="5" t="s">
        <v>99</v>
      </c>
      <c r="C11" s="5" t="s">
        <v>107</v>
      </c>
      <c r="D11" s="5" t="s">
        <v>88</v>
      </c>
      <c r="E11" s="5">
        <v>20</v>
      </c>
      <c r="F11" s="5">
        <v>40</v>
      </c>
      <c r="G11" s="12">
        <v>7.0000000000000007E-2</v>
      </c>
      <c r="H11" s="5" t="s">
        <v>108</v>
      </c>
      <c r="I11" s="5" t="s">
        <v>109</v>
      </c>
    </row>
    <row r="12" spans="1:9" ht="43.95" customHeight="1">
      <c r="A12" s="5" t="s">
        <v>55</v>
      </c>
      <c r="B12" s="5" t="s">
        <v>99</v>
      </c>
      <c r="C12" s="5" t="s">
        <v>110</v>
      </c>
      <c r="D12" s="5" t="s">
        <v>104</v>
      </c>
      <c r="E12" s="5">
        <v>80</v>
      </c>
      <c r="F12" s="5">
        <v>200</v>
      </c>
      <c r="G12" s="12">
        <v>0.05</v>
      </c>
      <c r="H12" s="5" t="s">
        <v>111</v>
      </c>
      <c r="I12" s="5" t="s">
        <v>112</v>
      </c>
    </row>
    <row r="13" spans="1:9">
      <c r="A13" s="20" t="s">
        <v>113</v>
      </c>
      <c r="B13" s="20"/>
      <c r="C13" s="20"/>
      <c r="D13" s="20"/>
      <c r="E13" s="20"/>
      <c r="F13" s="20"/>
      <c r="G13" s="7">
        <f>SUM(G6:G12)</f>
        <v>1</v>
      </c>
      <c r="H13" s="31" t="s">
        <v>114</v>
      </c>
      <c r="I13" s="31"/>
    </row>
    <row r="15" spans="1:9">
      <c r="A15" s="20" t="s">
        <v>115</v>
      </c>
      <c r="B15" s="20"/>
      <c r="C15" s="20"/>
      <c r="D15" s="20"/>
      <c r="E15" s="20"/>
      <c r="F15" s="20"/>
      <c r="G15" s="20"/>
      <c r="H15" s="20"/>
      <c r="I15" s="20"/>
    </row>
    <row r="16" spans="1:9">
      <c r="A16" s="1" t="s">
        <v>116</v>
      </c>
      <c r="B16" s="1" t="s">
        <v>18</v>
      </c>
      <c r="C16" s="1" t="s">
        <v>117</v>
      </c>
    </row>
    <row r="17" spans="1:3">
      <c r="A17" s="2" t="s">
        <v>118</v>
      </c>
      <c r="B17" s="2" t="s">
        <v>119</v>
      </c>
      <c r="C17" s="8" t="s">
        <v>120</v>
      </c>
    </row>
    <row r="18" spans="1:3">
      <c r="A18" s="2" t="s">
        <v>121</v>
      </c>
      <c r="B18" s="2" t="s">
        <v>122</v>
      </c>
      <c r="C18" s="9" t="s">
        <v>123</v>
      </c>
    </row>
    <row r="19" spans="1:3">
      <c r="A19" s="2" t="s">
        <v>124</v>
      </c>
      <c r="B19" s="2" t="s">
        <v>125</v>
      </c>
      <c r="C19" s="10" t="s">
        <v>126</v>
      </c>
    </row>
    <row r="20" spans="1:3">
      <c r="A20" s="2" t="s">
        <v>127</v>
      </c>
      <c r="B20" s="2" t="s">
        <v>128</v>
      </c>
      <c r="C20" s="11" t="s">
        <v>129</v>
      </c>
    </row>
  </sheetData>
  <mergeCells count="5">
    <mergeCell ref="A1:I2"/>
    <mergeCell ref="A3:I3"/>
    <mergeCell ref="A13:F13"/>
    <mergeCell ref="H13:I13"/>
    <mergeCell ref="A15:I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7"/>
  <sheetViews>
    <sheetView topLeftCell="A13" workbookViewId="0">
      <selection sqref="A1:J2"/>
    </sheetView>
  </sheetViews>
  <sheetFormatPr defaultRowHeight="13.8"/>
  <cols>
    <col min="1" max="1" width="7" customWidth="1"/>
    <col min="2" max="2" width="21" customWidth="1"/>
    <col min="3" max="3" width="22" customWidth="1"/>
    <col min="4" max="5" width="17" customWidth="1"/>
    <col min="6" max="6" width="25" customWidth="1"/>
    <col min="7" max="8" width="18" customWidth="1"/>
    <col min="9" max="9" width="48" customWidth="1"/>
    <col min="10" max="10" width="52" customWidth="1"/>
  </cols>
  <sheetData>
    <row r="1" spans="1:10">
      <c r="A1" s="18" t="s">
        <v>130</v>
      </c>
      <c r="B1" s="18"/>
      <c r="C1" s="18"/>
      <c r="D1" s="18"/>
      <c r="E1" s="18"/>
      <c r="F1" s="18"/>
      <c r="G1" s="18"/>
      <c r="H1" s="18"/>
      <c r="I1" s="18"/>
      <c r="J1" s="18"/>
    </row>
    <row r="2" spans="1:10">
      <c r="A2" s="18"/>
      <c r="B2" s="18"/>
      <c r="C2" s="18"/>
      <c r="D2" s="18"/>
      <c r="E2" s="18"/>
      <c r="F2" s="18"/>
      <c r="G2" s="18"/>
      <c r="H2" s="18"/>
      <c r="I2" s="18"/>
      <c r="J2" s="18"/>
    </row>
    <row r="3" spans="1:10" ht="33.6" customHeight="1">
      <c r="A3" s="32" t="s">
        <v>131</v>
      </c>
      <c r="B3" s="32"/>
      <c r="C3" s="32"/>
      <c r="D3" s="32"/>
      <c r="E3" s="32"/>
      <c r="F3" s="32"/>
      <c r="G3" s="32"/>
      <c r="H3" s="32"/>
      <c r="I3" s="32"/>
      <c r="J3" s="32"/>
    </row>
    <row r="5" spans="1:10" ht="40.049999999999997" customHeight="1">
      <c r="A5" s="1" t="s">
        <v>132</v>
      </c>
      <c r="B5" s="1" t="s">
        <v>16</v>
      </c>
      <c r="C5" s="1" t="s">
        <v>6</v>
      </c>
      <c r="D5" s="1" t="s">
        <v>133</v>
      </c>
      <c r="E5" s="1" t="s">
        <v>79</v>
      </c>
      <c r="F5" s="1" t="s">
        <v>134</v>
      </c>
      <c r="G5" s="1" t="s">
        <v>135</v>
      </c>
      <c r="H5" s="1" t="s">
        <v>136</v>
      </c>
      <c r="I5" s="1" t="s">
        <v>137</v>
      </c>
      <c r="J5" s="1" t="s">
        <v>138</v>
      </c>
    </row>
    <row r="6" spans="1:10" ht="41.4">
      <c r="A6" s="2">
        <v>1</v>
      </c>
      <c r="B6" s="2" t="s">
        <v>41</v>
      </c>
      <c r="C6" s="2" t="s">
        <v>8</v>
      </c>
      <c r="D6" s="3">
        <v>45.9</v>
      </c>
      <c r="E6" s="2" t="s">
        <v>87</v>
      </c>
      <c r="F6" s="5" t="s">
        <v>139</v>
      </c>
      <c r="G6" s="2" t="s">
        <v>140</v>
      </c>
      <c r="H6" s="3">
        <v>9</v>
      </c>
      <c r="I6" s="5" t="s">
        <v>141</v>
      </c>
      <c r="J6" s="5" t="s">
        <v>142</v>
      </c>
    </row>
    <row r="7" spans="1:10" ht="27.6">
      <c r="A7" s="2">
        <v>2</v>
      </c>
      <c r="B7" s="2" t="s">
        <v>41</v>
      </c>
      <c r="C7" s="2" t="s">
        <v>91</v>
      </c>
      <c r="D7" s="3">
        <v>37</v>
      </c>
      <c r="E7" s="2" t="s">
        <v>92</v>
      </c>
      <c r="F7" s="5" t="s">
        <v>143</v>
      </c>
      <c r="G7" s="2" t="s">
        <v>144</v>
      </c>
      <c r="H7" s="3">
        <v>33</v>
      </c>
      <c r="I7" s="5" t="s">
        <v>145</v>
      </c>
      <c r="J7" s="5" t="s">
        <v>142</v>
      </c>
    </row>
    <row r="8" spans="1:10" ht="27.6">
      <c r="A8" s="2">
        <v>3</v>
      </c>
      <c r="B8" s="2" t="s">
        <v>41</v>
      </c>
      <c r="C8" s="2" t="s">
        <v>95</v>
      </c>
      <c r="D8" s="3">
        <v>75</v>
      </c>
      <c r="E8" s="2" t="s">
        <v>96</v>
      </c>
      <c r="F8" s="5" t="s">
        <v>146</v>
      </c>
      <c r="G8" s="2" t="s">
        <v>147</v>
      </c>
      <c r="H8" s="3"/>
      <c r="I8" s="5" t="s">
        <v>148</v>
      </c>
      <c r="J8" s="5" t="s">
        <v>149</v>
      </c>
    </row>
    <row r="9" spans="1:10" ht="27.6">
      <c r="A9" s="2">
        <v>4</v>
      </c>
      <c r="B9" s="2" t="s">
        <v>41</v>
      </c>
      <c r="C9" s="2" t="s">
        <v>11</v>
      </c>
      <c r="D9" s="3">
        <v>2555.8000000000002</v>
      </c>
      <c r="E9" s="2" t="s">
        <v>100</v>
      </c>
      <c r="F9" s="5" t="s">
        <v>150</v>
      </c>
      <c r="G9" s="2" t="s">
        <v>151</v>
      </c>
      <c r="H9" s="3"/>
      <c r="I9" s="5" t="s">
        <v>152</v>
      </c>
      <c r="J9" s="5" t="s">
        <v>153</v>
      </c>
    </row>
    <row r="10" spans="1:10" ht="27.6">
      <c r="A10" s="2">
        <v>5</v>
      </c>
      <c r="B10" s="2" t="s">
        <v>41</v>
      </c>
      <c r="C10" s="2" t="s">
        <v>54</v>
      </c>
      <c r="D10" s="3">
        <v>5.52</v>
      </c>
      <c r="E10" s="2" t="s">
        <v>103</v>
      </c>
      <c r="F10" s="5" t="s">
        <v>154</v>
      </c>
      <c r="G10" s="2" t="s">
        <v>140</v>
      </c>
      <c r="H10" s="3"/>
      <c r="I10" s="5" t="s">
        <v>155</v>
      </c>
      <c r="J10" s="5" t="s">
        <v>156</v>
      </c>
    </row>
    <row r="11" spans="1:10" ht="55.2">
      <c r="A11" s="2">
        <v>6</v>
      </c>
      <c r="B11" s="2" t="s">
        <v>41</v>
      </c>
      <c r="C11" s="2" t="s">
        <v>13</v>
      </c>
      <c r="D11" s="3">
        <v>28</v>
      </c>
      <c r="E11" s="2" t="s">
        <v>157</v>
      </c>
      <c r="F11" s="5" t="s">
        <v>158</v>
      </c>
      <c r="G11" s="2" t="s">
        <v>159</v>
      </c>
      <c r="H11" s="3"/>
      <c r="I11" s="5" t="s">
        <v>160</v>
      </c>
      <c r="J11" s="5" t="s">
        <v>161</v>
      </c>
    </row>
    <row r="12" spans="1:10" ht="27.6">
      <c r="A12" s="2">
        <v>7</v>
      </c>
      <c r="B12" s="2" t="s">
        <v>41</v>
      </c>
      <c r="C12" s="2" t="s">
        <v>162</v>
      </c>
      <c r="D12" s="3">
        <v>151</v>
      </c>
      <c r="E12" s="2" t="s">
        <v>110</v>
      </c>
      <c r="F12" s="5" t="s">
        <v>158</v>
      </c>
      <c r="G12" s="2" t="s">
        <v>163</v>
      </c>
      <c r="H12" s="3"/>
      <c r="I12" s="5" t="s">
        <v>164</v>
      </c>
      <c r="J12" s="5" t="s">
        <v>165</v>
      </c>
    </row>
    <row r="13" spans="1:10" ht="55.2">
      <c r="A13" s="2">
        <v>8</v>
      </c>
      <c r="B13" s="2" t="s">
        <v>44</v>
      </c>
      <c r="C13" s="2" t="s">
        <v>8</v>
      </c>
      <c r="D13" s="3">
        <v>28</v>
      </c>
      <c r="E13" s="2" t="s">
        <v>87</v>
      </c>
      <c r="F13" s="5" t="s">
        <v>139</v>
      </c>
      <c r="G13" s="2" t="s">
        <v>140</v>
      </c>
      <c r="H13" s="3">
        <v>19</v>
      </c>
      <c r="I13" s="5" t="s">
        <v>166</v>
      </c>
      <c r="J13" s="5" t="s">
        <v>167</v>
      </c>
    </row>
    <row r="14" spans="1:10" ht="27.6">
      <c r="A14" s="2">
        <v>9</v>
      </c>
      <c r="B14" s="2" t="s">
        <v>44</v>
      </c>
      <c r="C14" s="2" t="s">
        <v>91</v>
      </c>
      <c r="D14" s="3">
        <v>35</v>
      </c>
      <c r="E14" s="2" t="s">
        <v>92</v>
      </c>
      <c r="F14" s="5" t="s">
        <v>143</v>
      </c>
      <c r="G14" s="2" t="s">
        <v>144</v>
      </c>
      <c r="H14" s="3">
        <v>32</v>
      </c>
      <c r="I14" s="5" t="s">
        <v>145</v>
      </c>
      <c r="J14" s="5" t="s">
        <v>167</v>
      </c>
    </row>
    <row r="15" spans="1:10" ht="27.6">
      <c r="A15" s="2">
        <v>10</v>
      </c>
      <c r="B15" s="2" t="s">
        <v>44</v>
      </c>
      <c r="C15" s="2" t="s">
        <v>95</v>
      </c>
      <c r="D15" s="3">
        <v>78</v>
      </c>
      <c r="E15" s="2" t="s">
        <v>96</v>
      </c>
      <c r="F15" s="5" t="s">
        <v>146</v>
      </c>
      <c r="G15" s="2" t="s">
        <v>147</v>
      </c>
      <c r="H15" s="3"/>
      <c r="I15" s="5" t="s">
        <v>148</v>
      </c>
      <c r="J15" s="5" t="s">
        <v>149</v>
      </c>
    </row>
    <row r="16" spans="1:10" ht="27.6">
      <c r="A16" s="2">
        <v>11</v>
      </c>
      <c r="B16" s="2" t="s">
        <v>44</v>
      </c>
      <c r="C16" s="2" t="s">
        <v>11</v>
      </c>
      <c r="D16" s="3">
        <v>4513.1000000000004</v>
      </c>
      <c r="E16" s="2" t="s">
        <v>100</v>
      </c>
      <c r="F16" s="5" t="s">
        <v>150</v>
      </c>
      <c r="G16" s="2" t="s">
        <v>151</v>
      </c>
      <c r="H16" s="3"/>
      <c r="I16" s="5" t="s">
        <v>152</v>
      </c>
      <c r="J16" s="5" t="s">
        <v>168</v>
      </c>
    </row>
    <row r="17" spans="1:10" ht="27.6">
      <c r="A17" s="2">
        <v>12</v>
      </c>
      <c r="B17" s="2" t="s">
        <v>44</v>
      </c>
      <c r="C17" s="2" t="s">
        <v>54</v>
      </c>
      <c r="D17" s="3">
        <v>2.4</v>
      </c>
      <c r="E17" s="2" t="s">
        <v>103</v>
      </c>
      <c r="F17" s="5" t="s">
        <v>154</v>
      </c>
      <c r="G17" s="2" t="s">
        <v>140</v>
      </c>
      <c r="H17" s="3"/>
      <c r="I17" s="5" t="s">
        <v>155</v>
      </c>
      <c r="J17" s="5" t="s">
        <v>156</v>
      </c>
    </row>
    <row r="18" spans="1:10" ht="55.2">
      <c r="A18" s="2">
        <v>13</v>
      </c>
      <c r="B18" s="2" t="s">
        <v>44</v>
      </c>
      <c r="C18" s="2" t="s">
        <v>13</v>
      </c>
      <c r="D18" s="3">
        <v>25</v>
      </c>
      <c r="E18" s="2" t="s">
        <v>157</v>
      </c>
      <c r="F18" s="5" t="s">
        <v>158</v>
      </c>
      <c r="G18" s="2" t="s">
        <v>159</v>
      </c>
      <c r="H18" s="3"/>
      <c r="I18" s="5" t="s">
        <v>160</v>
      </c>
      <c r="J18" s="5" t="s">
        <v>161</v>
      </c>
    </row>
    <row r="19" spans="1:10" ht="27.6">
      <c r="A19" s="2">
        <v>14</v>
      </c>
      <c r="B19" s="2" t="s">
        <v>44</v>
      </c>
      <c r="C19" s="2" t="s">
        <v>162</v>
      </c>
      <c r="D19" s="3">
        <v>170</v>
      </c>
      <c r="E19" s="2" t="s">
        <v>110</v>
      </c>
      <c r="F19" s="5" t="s">
        <v>158</v>
      </c>
      <c r="G19" s="2" t="s">
        <v>163</v>
      </c>
      <c r="H19" s="3"/>
      <c r="I19" s="5" t="s">
        <v>164</v>
      </c>
      <c r="J19" s="5" t="s">
        <v>165</v>
      </c>
    </row>
    <row r="20" spans="1:10" ht="41.4">
      <c r="A20" s="2">
        <v>15</v>
      </c>
      <c r="B20" s="2" t="s">
        <v>46</v>
      </c>
      <c r="C20" s="2" t="s">
        <v>8</v>
      </c>
      <c r="D20" s="3">
        <v>19.899999999999999</v>
      </c>
      <c r="E20" s="2" t="s">
        <v>87</v>
      </c>
      <c r="F20" s="5" t="s">
        <v>139</v>
      </c>
      <c r="G20" s="2" t="s">
        <v>140</v>
      </c>
      <c r="H20" s="3">
        <v>7</v>
      </c>
      <c r="I20" s="5" t="s">
        <v>169</v>
      </c>
      <c r="J20" s="5" t="s">
        <v>170</v>
      </c>
    </row>
    <row r="21" spans="1:10" ht="27.6">
      <c r="A21" s="2">
        <v>16</v>
      </c>
      <c r="B21" s="2" t="s">
        <v>46</v>
      </c>
      <c r="C21" s="2" t="s">
        <v>91</v>
      </c>
      <c r="D21" s="3">
        <v>36</v>
      </c>
      <c r="E21" s="2" t="s">
        <v>92</v>
      </c>
      <c r="F21" s="5" t="s">
        <v>143</v>
      </c>
      <c r="G21" s="2" t="s">
        <v>144</v>
      </c>
      <c r="H21" s="3">
        <v>34</v>
      </c>
      <c r="I21" s="5" t="s">
        <v>145</v>
      </c>
      <c r="J21" s="5" t="s">
        <v>170</v>
      </c>
    </row>
    <row r="22" spans="1:10" ht="27.6">
      <c r="A22" s="2">
        <v>17</v>
      </c>
      <c r="B22" s="2" t="s">
        <v>46</v>
      </c>
      <c r="C22" s="2" t="s">
        <v>95</v>
      </c>
      <c r="D22" s="3">
        <v>70</v>
      </c>
      <c r="E22" s="2" t="s">
        <v>96</v>
      </c>
      <c r="F22" s="5" t="s">
        <v>158</v>
      </c>
      <c r="G22" s="2" t="s">
        <v>147</v>
      </c>
      <c r="H22" s="3"/>
      <c r="I22" s="5" t="s">
        <v>148</v>
      </c>
      <c r="J22" s="5" t="s">
        <v>149</v>
      </c>
    </row>
    <row r="23" spans="1:10" ht="27.6">
      <c r="A23" s="2">
        <v>18</v>
      </c>
      <c r="B23" s="2" t="s">
        <v>46</v>
      </c>
      <c r="C23" s="2" t="s">
        <v>11</v>
      </c>
      <c r="D23" s="3">
        <v>969.2</v>
      </c>
      <c r="E23" s="2" t="s">
        <v>100</v>
      </c>
      <c r="F23" s="5" t="s">
        <v>150</v>
      </c>
      <c r="G23" s="2" t="s">
        <v>151</v>
      </c>
      <c r="H23" s="3"/>
      <c r="I23" s="5" t="s">
        <v>152</v>
      </c>
      <c r="J23" s="5" t="s">
        <v>171</v>
      </c>
    </row>
    <row r="24" spans="1:10" ht="27.6">
      <c r="A24" s="2">
        <v>19</v>
      </c>
      <c r="B24" s="2" t="s">
        <v>46</v>
      </c>
      <c r="C24" s="2" t="s">
        <v>54</v>
      </c>
      <c r="D24" s="3">
        <v>2.4</v>
      </c>
      <c r="E24" s="2" t="s">
        <v>103</v>
      </c>
      <c r="F24" s="5" t="s">
        <v>154</v>
      </c>
      <c r="G24" s="2" t="s">
        <v>140</v>
      </c>
      <c r="H24" s="3"/>
      <c r="I24" s="5" t="s">
        <v>155</v>
      </c>
      <c r="J24" s="5" t="s">
        <v>156</v>
      </c>
    </row>
    <row r="25" spans="1:10" ht="55.2">
      <c r="A25" s="2">
        <v>20</v>
      </c>
      <c r="B25" s="2" t="s">
        <v>46</v>
      </c>
      <c r="C25" s="2" t="s">
        <v>13</v>
      </c>
      <c r="D25" s="3">
        <v>27</v>
      </c>
      <c r="E25" s="2" t="s">
        <v>157</v>
      </c>
      <c r="F25" s="5" t="s">
        <v>158</v>
      </c>
      <c r="G25" s="2" t="s">
        <v>159</v>
      </c>
      <c r="H25" s="3"/>
      <c r="I25" s="5" t="s">
        <v>160</v>
      </c>
      <c r="J25" s="5" t="s">
        <v>161</v>
      </c>
    </row>
    <row r="26" spans="1:10" ht="27.6">
      <c r="A26" s="2">
        <v>21</v>
      </c>
      <c r="B26" s="2" t="s">
        <v>46</v>
      </c>
      <c r="C26" s="2" t="s">
        <v>162</v>
      </c>
      <c r="D26" s="3">
        <v>119</v>
      </c>
      <c r="E26" s="2" t="s">
        <v>110</v>
      </c>
      <c r="F26" s="5" t="s">
        <v>158</v>
      </c>
      <c r="G26" s="2" t="s">
        <v>163</v>
      </c>
      <c r="H26" s="3"/>
      <c r="I26" s="5" t="s">
        <v>164</v>
      </c>
      <c r="J26" s="5" t="s">
        <v>165</v>
      </c>
    </row>
    <row r="27" spans="1:10" ht="55.2">
      <c r="A27" s="2">
        <v>22</v>
      </c>
      <c r="B27" s="2" t="s">
        <v>48</v>
      </c>
      <c r="C27" s="2" t="s">
        <v>8</v>
      </c>
      <c r="D27" s="3">
        <v>25</v>
      </c>
      <c r="E27" s="2" t="s">
        <v>87</v>
      </c>
      <c r="F27" s="5" t="s">
        <v>139</v>
      </c>
      <c r="G27" s="2" t="s">
        <v>140</v>
      </c>
      <c r="H27" s="3">
        <v>14</v>
      </c>
      <c r="I27" s="5" t="s">
        <v>172</v>
      </c>
      <c r="J27" s="5" t="s">
        <v>173</v>
      </c>
    </row>
    <row r="28" spans="1:10" ht="27.6">
      <c r="A28" s="2">
        <v>23</v>
      </c>
      <c r="B28" s="2" t="s">
        <v>48</v>
      </c>
      <c r="C28" s="2" t="s">
        <v>91</v>
      </c>
      <c r="D28" s="3">
        <v>35</v>
      </c>
      <c r="E28" s="2" t="s">
        <v>92</v>
      </c>
      <c r="F28" s="5" t="s">
        <v>143</v>
      </c>
      <c r="G28" s="2" t="s">
        <v>144</v>
      </c>
      <c r="H28" s="3">
        <v>31</v>
      </c>
      <c r="I28" s="5" t="s">
        <v>145</v>
      </c>
      <c r="J28" s="5" t="s">
        <v>173</v>
      </c>
    </row>
    <row r="29" spans="1:10" ht="27.6">
      <c r="A29" s="2">
        <v>24</v>
      </c>
      <c r="B29" s="2" t="s">
        <v>48</v>
      </c>
      <c r="C29" s="2" t="s">
        <v>95</v>
      </c>
      <c r="D29" s="3">
        <v>72</v>
      </c>
      <c r="E29" s="2" t="s">
        <v>96</v>
      </c>
      <c r="F29" s="5" t="s">
        <v>158</v>
      </c>
      <c r="G29" s="2" t="s">
        <v>147</v>
      </c>
      <c r="H29" s="3"/>
      <c r="I29" s="5" t="s">
        <v>148</v>
      </c>
      <c r="J29" s="5" t="s">
        <v>149</v>
      </c>
    </row>
    <row r="30" spans="1:10" ht="27.6">
      <c r="A30" s="2">
        <v>25</v>
      </c>
      <c r="B30" s="2" t="s">
        <v>48</v>
      </c>
      <c r="C30" s="2" t="s">
        <v>11</v>
      </c>
      <c r="D30" s="3">
        <v>1379</v>
      </c>
      <c r="E30" s="2" t="s">
        <v>100</v>
      </c>
      <c r="F30" s="5" t="s">
        <v>150</v>
      </c>
      <c r="G30" s="2" t="s">
        <v>151</v>
      </c>
      <c r="H30" s="3"/>
      <c r="I30" s="5" t="s">
        <v>152</v>
      </c>
      <c r="J30" s="5" t="s">
        <v>174</v>
      </c>
    </row>
    <row r="31" spans="1:10" ht="27.6">
      <c r="A31" s="2">
        <v>26</v>
      </c>
      <c r="B31" s="2" t="s">
        <v>48</v>
      </c>
      <c r="C31" s="2" t="s">
        <v>54</v>
      </c>
      <c r="D31" s="3">
        <v>3.8</v>
      </c>
      <c r="E31" s="2" t="s">
        <v>103</v>
      </c>
      <c r="F31" s="5" t="s">
        <v>158</v>
      </c>
      <c r="G31" s="2" t="s">
        <v>140</v>
      </c>
      <c r="H31" s="3"/>
      <c r="I31" s="5" t="s">
        <v>155</v>
      </c>
      <c r="J31" s="5" t="s">
        <v>156</v>
      </c>
    </row>
    <row r="32" spans="1:10" ht="55.2">
      <c r="A32" s="2">
        <v>27</v>
      </c>
      <c r="B32" s="2" t="s">
        <v>48</v>
      </c>
      <c r="C32" s="2" t="s">
        <v>13</v>
      </c>
      <c r="D32" s="3">
        <v>30</v>
      </c>
      <c r="E32" s="2" t="s">
        <v>157</v>
      </c>
      <c r="F32" s="5" t="s">
        <v>158</v>
      </c>
      <c r="G32" s="2" t="s">
        <v>159</v>
      </c>
      <c r="H32" s="3"/>
      <c r="I32" s="5" t="s">
        <v>160</v>
      </c>
      <c r="J32" s="5" t="s">
        <v>161</v>
      </c>
    </row>
    <row r="33" spans="1:10" ht="27.6">
      <c r="A33" s="2">
        <v>28</v>
      </c>
      <c r="B33" s="2" t="s">
        <v>48</v>
      </c>
      <c r="C33" s="2" t="s">
        <v>162</v>
      </c>
      <c r="D33" s="3">
        <v>173</v>
      </c>
      <c r="E33" s="2" t="s">
        <v>110</v>
      </c>
      <c r="F33" s="5" t="s">
        <v>158</v>
      </c>
      <c r="G33" s="2" t="s">
        <v>163</v>
      </c>
      <c r="H33" s="3"/>
      <c r="I33" s="5" t="s">
        <v>164</v>
      </c>
      <c r="J33" s="5" t="s">
        <v>165</v>
      </c>
    </row>
    <row r="34" spans="1:10" ht="55.2">
      <c r="A34" s="2">
        <v>29</v>
      </c>
      <c r="B34" s="2" t="s">
        <v>50</v>
      </c>
      <c r="C34" s="2" t="s">
        <v>8</v>
      </c>
      <c r="D34" s="3">
        <v>30</v>
      </c>
      <c r="E34" s="2" t="s">
        <v>87</v>
      </c>
      <c r="F34" s="5" t="s">
        <v>139</v>
      </c>
      <c r="G34" s="2" t="s">
        <v>140</v>
      </c>
      <c r="H34" s="3">
        <v>19</v>
      </c>
      <c r="I34" s="5" t="s">
        <v>166</v>
      </c>
      <c r="J34" s="5" t="s">
        <v>175</v>
      </c>
    </row>
    <row r="35" spans="1:10" ht="27.6">
      <c r="A35" s="2">
        <v>30</v>
      </c>
      <c r="B35" s="2" t="s">
        <v>50</v>
      </c>
      <c r="C35" s="2" t="s">
        <v>91</v>
      </c>
      <c r="D35" s="3">
        <v>35.5</v>
      </c>
      <c r="E35" s="2" t="s">
        <v>92</v>
      </c>
      <c r="F35" s="5" t="s">
        <v>143</v>
      </c>
      <c r="G35" s="2" t="s">
        <v>144</v>
      </c>
      <c r="H35" s="3">
        <v>34</v>
      </c>
      <c r="I35" s="5" t="s">
        <v>145</v>
      </c>
      <c r="J35" s="5" t="s">
        <v>175</v>
      </c>
    </row>
    <row r="36" spans="1:10" ht="27.6">
      <c r="A36" s="2">
        <v>31</v>
      </c>
      <c r="B36" s="2" t="s">
        <v>50</v>
      </c>
      <c r="C36" s="2" t="s">
        <v>95</v>
      </c>
      <c r="D36" s="3">
        <v>68</v>
      </c>
      <c r="E36" s="2" t="s">
        <v>96</v>
      </c>
      <c r="F36" s="5" t="s">
        <v>158</v>
      </c>
      <c r="G36" s="2" t="s">
        <v>147</v>
      </c>
      <c r="H36" s="3"/>
      <c r="I36" s="5" t="s">
        <v>148</v>
      </c>
      <c r="J36" s="5" t="s">
        <v>149</v>
      </c>
    </row>
    <row r="37" spans="1:10" ht="27.6">
      <c r="A37" s="2">
        <v>32</v>
      </c>
      <c r="B37" s="2" t="s">
        <v>50</v>
      </c>
      <c r="C37" s="2" t="s">
        <v>11</v>
      </c>
      <c r="D37" s="3">
        <v>874</v>
      </c>
      <c r="E37" s="2" t="s">
        <v>100</v>
      </c>
      <c r="F37" s="5" t="s">
        <v>150</v>
      </c>
      <c r="G37" s="2" t="s">
        <v>151</v>
      </c>
      <c r="H37" s="3"/>
      <c r="I37" s="5" t="s">
        <v>152</v>
      </c>
      <c r="J37" s="5" t="s">
        <v>176</v>
      </c>
    </row>
    <row r="38" spans="1:10" ht="27.6">
      <c r="A38" s="2">
        <v>33</v>
      </c>
      <c r="B38" s="2" t="s">
        <v>50</v>
      </c>
      <c r="C38" s="2" t="s">
        <v>54</v>
      </c>
      <c r="D38" s="3">
        <v>4.5</v>
      </c>
      <c r="E38" s="2" t="s">
        <v>103</v>
      </c>
      <c r="F38" s="5" t="s">
        <v>158</v>
      </c>
      <c r="G38" s="2" t="s">
        <v>140</v>
      </c>
      <c r="H38" s="3"/>
      <c r="I38" s="5" t="s">
        <v>155</v>
      </c>
      <c r="J38" s="5" t="s">
        <v>156</v>
      </c>
    </row>
    <row r="39" spans="1:10" ht="55.2">
      <c r="A39" s="2">
        <v>34</v>
      </c>
      <c r="B39" s="2" t="s">
        <v>50</v>
      </c>
      <c r="C39" s="2" t="s">
        <v>13</v>
      </c>
      <c r="D39" s="3">
        <v>32</v>
      </c>
      <c r="E39" s="2" t="s">
        <v>157</v>
      </c>
      <c r="F39" s="5" t="s">
        <v>158</v>
      </c>
      <c r="G39" s="2" t="s">
        <v>159</v>
      </c>
      <c r="H39" s="3"/>
      <c r="I39" s="5" t="s">
        <v>160</v>
      </c>
      <c r="J39" s="5" t="s">
        <v>161</v>
      </c>
    </row>
    <row r="40" spans="1:10" ht="27.6">
      <c r="A40" s="2">
        <v>35</v>
      </c>
      <c r="B40" s="2" t="s">
        <v>50</v>
      </c>
      <c r="C40" s="2" t="s">
        <v>162</v>
      </c>
      <c r="D40" s="3">
        <v>96</v>
      </c>
      <c r="E40" s="2" t="s">
        <v>110</v>
      </c>
      <c r="F40" s="5" t="s">
        <v>158</v>
      </c>
      <c r="G40" s="2" t="s">
        <v>163</v>
      </c>
      <c r="H40" s="3"/>
      <c r="I40" s="5" t="s">
        <v>164</v>
      </c>
      <c r="J40" s="5" t="s">
        <v>165</v>
      </c>
    </row>
    <row r="42" spans="1:10">
      <c r="A42" s="20" t="s">
        <v>177</v>
      </c>
      <c r="B42" s="20"/>
      <c r="C42" s="20"/>
      <c r="D42" s="20"/>
      <c r="E42" s="20"/>
      <c r="F42" s="20"/>
      <c r="G42" s="20"/>
      <c r="H42" s="20"/>
      <c r="I42" s="20"/>
      <c r="J42" s="20"/>
    </row>
    <row r="43" spans="1:10" ht="27.6">
      <c r="A43" s="1" t="s">
        <v>178</v>
      </c>
      <c r="B43" s="1" t="s">
        <v>179</v>
      </c>
      <c r="C43" s="1" t="s">
        <v>180</v>
      </c>
      <c r="D43" s="1" t="s">
        <v>181</v>
      </c>
      <c r="E43" s="1" t="s">
        <v>182</v>
      </c>
      <c r="F43" s="1" t="s">
        <v>183</v>
      </c>
      <c r="G43" s="1" t="s">
        <v>184</v>
      </c>
      <c r="H43" s="1" t="s">
        <v>185</v>
      </c>
      <c r="I43" s="1" t="s">
        <v>186</v>
      </c>
      <c r="J43" s="1" t="s">
        <v>187</v>
      </c>
    </row>
    <row r="44" spans="1:10" ht="69">
      <c r="A44" s="5" t="s">
        <v>21</v>
      </c>
      <c r="B44" s="5" t="s">
        <v>188</v>
      </c>
      <c r="C44" s="5" t="s">
        <v>189</v>
      </c>
      <c r="D44" s="5" t="s">
        <v>190</v>
      </c>
      <c r="E44" s="5" t="s">
        <v>191</v>
      </c>
      <c r="F44" s="5" t="s">
        <v>192</v>
      </c>
      <c r="G44" s="5" t="s">
        <v>193</v>
      </c>
      <c r="H44" s="5" t="s">
        <v>194</v>
      </c>
      <c r="I44" s="5" t="s">
        <v>195</v>
      </c>
      <c r="J44" s="5" t="s">
        <v>196</v>
      </c>
    </row>
    <row r="45" spans="1:10" ht="82.8">
      <c r="A45" s="5" t="s">
        <v>197</v>
      </c>
      <c r="B45" s="5" t="s">
        <v>198</v>
      </c>
      <c r="C45" s="5" t="s">
        <v>199</v>
      </c>
      <c r="D45" s="5" t="s">
        <v>190</v>
      </c>
      <c r="E45" s="5" t="s">
        <v>191</v>
      </c>
      <c r="F45" s="5" t="s">
        <v>200</v>
      </c>
      <c r="G45" s="5" t="s">
        <v>193</v>
      </c>
      <c r="H45" s="5" t="s">
        <v>201</v>
      </c>
      <c r="I45" s="5" t="s">
        <v>202</v>
      </c>
      <c r="J45" s="5" t="s">
        <v>203</v>
      </c>
    </row>
    <row r="46" spans="1:10" ht="27.6">
      <c r="A46" s="5" t="s">
        <v>11</v>
      </c>
      <c r="B46" s="5" t="s">
        <v>204</v>
      </c>
      <c r="C46" s="5" t="s">
        <v>205</v>
      </c>
      <c r="D46" s="5" t="s">
        <v>206</v>
      </c>
      <c r="E46" s="5" t="s">
        <v>207</v>
      </c>
      <c r="F46" s="5" t="s">
        <v>208</v>
      </c>
      <c r="G46" s="5" t="s">
        <v>193</v>
      </c>
      <c r="H46" s="5" t="s">
        <v>209</v>
      </c>
      <c r="I46" s="5" t="s">
        <v>210</v>
      </c>
      <c r="J46" s="5" t="s">
        <v>211</v>
      </c>
    </row>
    <row r="47" spans="1:10" ht="138">
      <c r="A47" s="5" t="s">
        <v>212</v>
      </c>
      <c r="B47" s="5" t="s">
        <v>213</v>
      </c>
      <c r="C47" s="5" t="s">
        <v>214</v>
      </c>
      <c r="D47" s="5" t="s">
        <v>215</v>
      </c>
      <c r="E47" s="5" t="s">
        <v>207</v>
      </c>
      <c r="F47" s="5" t="s">
        <v>216</v>
      </c>
      <c r="G47" s="5" t="s">
        <v>193</v>
      </c>
      <c r="H47" s="5" t="s">
        <v>217</v>
      </c>
      <c r="I47" s="5" t="s">
        <v>165</v>
      </c>
      <c r="J47" s="5" t="s">
        <v>218</v>
      </c>
    </row>
  </sheetData>
  <mergeCells count="3">
    <mergeCell ref="A1:J2"/>
    <mergeCell ref="A3:J3"/>
    <mergeCell ref="A42:J4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6"/>
  <sheetViews>
    <sheetView workbookViewId="0">
      <selection activeCell="E7" sqref="E7"/>
    </sheetView>
  </sheetViews>
  <sheetFormatPr defaultRowHeight="13.8"/>
  <cols>
    <col min="1" max="1" width="25" customWidth="1"/>
    <col min="2" max="2" width="42" customWidth="1"/>
    <col min="3" max="4" width="48" customWidth="1"/>
    <col min="5" max="5" width="55" customWidth="1"/>
    <col min="6" max="7" width="42" customWidth="1"/>
    <col min="8" max="8" width="52" customWidth="1"/>
    <col min="9" max="9" width="18" customWidth="1"/>
  </cols>
  <sheetData>
    <row r="1" spans="1:9">
      <c r="A1" s="33" t="s">
        <v>219</v>
      </c>
      <c r="B1" s="33"/>
      <c r="C1" s="33"/>
      <c r="D1" s="33"/>
      <c r="E1" s="33"/>
      <c r="F1" s="34"/>
      <c r="G1" s="34"/>
      <c r="H1" s="34"/>
      <c r="I1" s="34"/>
    </row>
    <row r="2" spans="1:9">
      <c r="A2" s="33"/>
      <c r="B2" s="33"/>
      <c r="C2" s="33"/>
      <c r="D2" s="33"/>
      <c r="E2" s="33"/>
      <c r="F2" s="34"/>
      <c r="G2" s="34"/>
      <c r="H2" s="34"/>
      <c r="I2" s="34"/>
    </row>
    <row r="3" spans="1:9" ht="36.75" customHeight="1">
      <c r="A3" s="35" t="s">
        <v>220</v>
      </c>
      <c r="B3" s="35"/>
      <c r="C3" s="35"/>
      <c r="D3" s="35"/>
      <c r="E3" s="35"/>
      <c r="F3" s="36"/>
      <c r="G3" s="36"/>
      <c r="H3" s="36"/>
      <c r="I3" s="36"/>
    </row>
    <row r="5" spans="1:9" ht="33.6" customHeight="1">
      <c r="A5" s="16" t="s">
        <v>19</v>
      </c>
      <c r="B5" s="16" t="s">
        <v>72</v>
      </c>
      <c r="C5" s="16" t="s">
        <v>73</v>
      </c>
      <c r="D5" s="16" t="s">
        <v>74</v>
      </c>
      <c r="E5" s="16" t="s">
        <v>221</v>
      </c>
      <c r="F5" s="14"/>
      <c r="G5" s="14"/>
      <c r="H5" s="14"/>
      <c r="I5" s="14"/>
    </row>
    <row r="6" spans="1:9" ht="54.45" customHeight="1">
      <c r="A6" s="15" t="s">
        <v>8</v>
      </c>
      <c r="B6" s="15" t="s">
        <v>222</v>
      </c>
      <c r="C6" s="15" t="s">
        <v>223</v>
      </c>
      <c r="D6" s="15" t="s">
        <v>224</v>
      </c>
      <c r="E6" s="15" t="s">
        <v>225</v>
      </c>
      <c r="F6" s="15"/>
      <c r="G6" s="15"/>
      <c r="H6" s="15"/>
      <c r="I6" s="15"/>
    </row>
    <row r="7" spans="1:9" ht="54.45" customHeight="1">
      <c r="A7" s="15" t="s">
        <v>9</v>
      </c>
      <c r="B7" s="15" t="s">
        <v>226</v>
      </c>
      <c r="C7" s="15" t="s">
        <v>227</v>
      </c>
      <c r="D7" s="15" t="s">
        <v>228</v>
      </c>
      <c r="E7" s="15" t="s">
        <v>229</v>
      </c>
      <c r="F7" s="15"/>
      <c r="G7" s="15"/>
      <c r="H7" s="15"/>
      <c r="I7" s="15"/>
    </row>
    <row r="8" spans="1:9" ht="54.45" customHeight="1">
      <c r="A8" s="15" t="s">
        <v>10</v>
      </c>
      <c r="B8" s="15" t="s">
        <v>230</v>
      </c>
      <c r="C8" s="15" t="s">
        <v>231</v>
      </c>
      <c r="D8" s="15" t="s">
        <v>232</v>
      </c>
      <c r="E8" s="15" t="s">
        <v>233</v>
      </c>
      <c r="F8" s="15"/>
      <c r="G8" s="15"/>
      <c r="H8" s="15"/>
      <c r="I8" s="15"/>
    </row>
    <row r="9" spans="1:9" ht="54.45" customHeight="1">
      <c r="A9" s="15" t="s">
        <v>11</v>
      </c>
      <c r="B9" s="15" t="s">
        <v>234</v>
      </c>
      <c r="C9" s="15" t="s">
        <v>235</v>
      </c>
      <c r="D9" s="15" t="s">
        <v>236</v>
      </c>
      <c r="E9" s="15" t="s">
        <v>237</v>
      </c>
      <c r="F9" s="15"/>
      <c r="G9" s="15"/>
      <c r="H9" s="15"/>
      <c r="I9" s="15"/>
    </row>
    <row r="10" spans="1:9" ht="54.45" customHeight="1">
      <c r="A10" s="15" t="s">
        <v>12</v>
      </c>
      <c r="B10" s="15" t="s">
        <v>238</v>
      </c>
      <c r="C10" s="15" t="s">
        <v>239</v>
      </c>
      <c r="D10" s="15" t="s">
        <v>240</v>
      </c>
      <c r="E10" s="15" t="s">
        <v>241</v>
      </c>
      <c r="F10" s="15"/>
      <c r="G10" s="15"/>
      <c r="H10" s="15"/>
      <c r="I10" s="15"/>
    </row>
    <row r="11" spans="1:9" ht="54.45" customHeight="1">
      <c r="A11" s="15" t="s">
        <v>13</v>
      </c>
      <c r="B11" s="15" t="s">
        <v>242</v>
      </c>
      <c r="C11" s="15" t="s">
        <v>243</v>
      </c>
      <c r="D11" s="15" t="s">
        <v>244</v>
      </c>
      <c r="E11" s="15" t="s">
        <v>245</v>
      </c>
      <c r="F11" s="15"/>
      <c r="G11" s="15"/>
      <c r="H11" s="15"/>
      <c r="I11" s="15"/>
    </row>
    <row r="12" spans="1:9" ht="54.45" customHeight="1">
      <c r="A12" s="15" t="s">
        <v>14</v>
      </c>
      <c r="B12" s="15" t="s">
        <v>246</v>
      </c>
      <c r="C12" s="15" t="s">
        <v>247</v>
      </c>
      <c r="D12" s="15" t="s">
        <v>248</v>
      </c>
      <c r="E12" s="15" t="s">
        <v>249</v>
      </c>
      <c r="F12" s="15"/>
      <c r="G12" s="15"/>
      <c r="H12" s="15"/>
      <c r="I12" s="15"/>
    </row>
    <row r="13" spans="1:9" ht="57.6" customHeight="1">
      <c r="A13" s="15"/>
      <c r="B13" s="15"/>
      <c r="C13" s="15"/>
      <c r="D13" s="15"/>
      <c r="E13" s="15"/>
      <c r="F13" s="15"/>
      <c r="G13" s="15"/>
      <c r="H13" s="15"/>
      <c r="I13" s="15"/>
    </row>
    <row r="14" spans="1:9" ht="57.6" customHeight="1">
      <c r="A14" s="15"/>
      <c r="B14" s="15"/>
      <c r="C14" s="15"/>
      <c r="D14" s="15"/>
      <c r="E14" s="15"/>
      <c r="F14" s="15"/>
      <c r="G14" s="15"/>
      <c r="H14" s="15"/>
      <c r="I14" s="15"/>
    </row>
    <row r="15" spans="1:9" ht="57.6" customHeight="1">
      <c r="A15" s="15"/>
      <c r="B15" s="15"/>
      <c r="C15" s="15"/>
      <c r="D15" s="15"/>
      <c r="E15" s="15"/>
      <c r="F15" s="15"/>
      <c r="G15" s="15"/>
      <c r="H15" s="15"/>
      <c r="I15" s="15"/>
    </row>
    <row r="16" spans="1:9" ht="57.6" customHeight="1">
      <c r="A16" s="15"/>
      <c r="B16" s="15"/>
      <c r="C16" s="15"/>
      <c r="D16" s="15"/>
      <c r="E16" s="15"/>
      <c r="F16" s="15"/>
      <c r="G16" s="15"/>
      <c r="H16" s="15"/>
      <c r="I16" s="15"/>
    </row>
    <row r="17" spans="1:9" ht="57.6" customHeight="1">
      <c r="A17" s="15"/>
      <c r="B17" s="15"/>
      <c r="C17" s="15"/>
      <c r="D17" s="15"/>
      <c r="E17" s="15"/>
      <c r="F17" s="15"/>
      <c r="G17" s="15"/>
      <c r="H17" s="15"/>
      <c r="I17" s="15"/>
    </row>
    <row r="18" spans="1:9" ht="57.6" customHeight="1">
      <c r="A18" s="15"/>
      <c r="B18" s="15"/>
      <c r="C18" s="15"/>
      <c r="D18" s="15"/>
      <c r="E18" s="15"/>
      <c r="F18" s="15"/>
      <c r="G18" s="15"/>
      <c r="H18" s="15"/>
      <c r="I18" s="15"/>
    </row>
    <row r="19" spans="1:9" ht="57.6" customHeight="1">
      <c r="A19" s="15"/>
      <c r="B19" s="15"/>
      <c r="C19" s="15"/>
      <c r="D19" s="15"/>
      <c r="E19" s="15"/>
      <c r="F19" s="15"/>
      <c r="G19" s="15"/>
      <c r="H19" s="15"/>
      <c r="I19" s="15"/>
    </row>
    <row r="20" spans="1:9" ht="57.6" customHeight="1">
      <c r="A20" s="15"/>
      <c r="B20" s="15"/>
      <c r="C20" s="15"/>
      <c r="D20" s="15"/>
      <c r="E20" s="15"/>
      <c r="F20" s="15"/>
      <c r="G20" s="15"/>
      <c r="H20" s="15"/>
      <c r="I20" s="15"/>
    </row>
    <row r="21" spans="1:9" ht="57.6" customHeight="1">
      <c r="A21" s="15"/>
      <c r="B21" s="15"/>
      <c r="C21" s="15"/>
      <c r="D21" s="15"/>
      <c r="E21" s="15"/>
      <c r="F21" s="15"/>
      <c r="G21" s="15"/>
      <c r="H21" s="15"/>
      <c r="I21" s="15"/>
    </row>
    <row r="22" spans="1:9" ht="57.6" customHeight="1">
      <c r="A22" s="15"/>
      <c r="B22" s="15"/>
      <c r="C22" s="15"/>
      <c r="D22" s="15"/>
      <c r="E22" s="15"/>
      <c r="F22" s="15"/>
      <c r="G22" s="15"/>
      <c r="H22" s="15"/>
      <c r="I22" s="15"/>
    </row>
    <row r="23" spans="1:9" ht="57.6" customHeight="1">
      <c r="A23" s="15"/>
      <c r="B23" s="15"/>
      <c r="C23" s="15"/>
      <c r="D23" s="15"/>
      <c r="E23" s="15"/>
      <c r="F23" s="15"/>
      <c r="G23" s="15"/>
      <c r="H23" s="15"/>
      <c r="I23" s="15"/>
    </row>
    <row r="24" spans="1:9" ht="57.6" customHeight="1">
      <c r="A24" s="15"/>
      <c r="B24" s="15"/>
      <c r="C24" s="15"/>
      <c r="D24" s="15"/>
      <c r="E24" s="15"/>
      <c r="F24" s="15"/>
      <c r="G24" s="15"/>
      <c r="H24" s="15"/>
      <c r="I24" s="15"/>
    </row>
    <row r="25" spans="1:9" ht="57.6" customHeight="1">
      <c r="A25" s="15"/>
      <c r="B25" s="15"/>
      <c r="C25" s="15"/>
      <c r="D25" s="15"/>
      <c r="E25" s="15"/>
      <c r="F25" s="15"/>
      <c r="G25" s="15"/>
      <c r="H25" s="15"/>
      <c r="I25" s="15"/>
    </row>
    <row r="26" spans="1:9" ht="57.6" customHeight="1">
      <c r="A26" s="15"/>
      <c r="B26" s="15"/>
      <c r="C26" s="15"/>
      <c r="D26" s="15"/>
      <c r="E26" s="15"/>
      <c r="F26" s="15"/>
      <c r="G26" s="15"/>
      <c r="H26" s="15"/>
      <c r="I26" s="15"/>
    </row>
  </sheetData>
  <mergeCells count="2">
    <mergeCell ref="A1:I2"/>
    <mergeCell ref="A3:I3"/>
  </mergeCells>
  <conditionalFormatting sqref="C6:C26">
    <cfRule type="expression" dxfId="2" priority="1">
      <formula>C6="Theo dõi"</formula>
    </cfRule>
    <cfRule type="expression" dxfId="1" priority="2">
      <formula>C6="Cần chú ý"</formula>
    </cfRule>
    <cfRule type="expression" dxfId="0" priority="3">
      <formula>C6="Ưu tiên"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2"/>
  <sheetViews>
    <sheetView workbookViewId="0">
      <selection activeCell="A12" sqref="A12"/>
    </sheetView>
  </sheetViews>
  <sheetFormatPr defaultRowHeight="13.8"/>
  <cols>
    <col min="1" max="1" width="20" customWidth="1"/>
    <col min="2" max="2" width="70" customWidth="1"/>
    <col min="3" max="5" width="38" customWidth="1"/>
    <col min="6" max="8" width="16" customWidth="1"/>
  </cols>
  <sheetData>
    <row r="1" spans="1:8">
      <c r="A1" s="33" t="s">
        <v>250</v>
      </c>
      <c r="B1" s="33"/>
      <c r="C1" s="33"/>
      <c r="D1" s="33"/>
      <c r="E1" s="33"/>
      <c r="F1" s="33"/>
      <c r="G1" s="33"/>
      <c r="H1" s="33"/>
    </row>
    <row r="2" spans="1:8">
      <c r="A2" s="33"/>
      <c r="B2" s="33"/>
      <c r="C2" s="33"/>
      <c r="D2" s="33"/>
      <c r="E2" s="33"/>
      <c r="F2" s="33"/>
      <c r="G2" s="33"/>
      <c r="H2" s="33"/>
    </row>
    <row r="3" spans="1:8">
      <c r="A3" s="26" t="s">
        <v>251</v>
      </c>
      <c r="B3" s="26"/>
      <c r="C3" s="26"/>
      <c r="D3" s="26"/>
      <c r="E3" s="26"/>
      <c r="F3" s="26"/>
      <c r="G3" s="26"/>
      <c r="H3" s="26"/>
    </row>
    <row r="4" spans="1:8" ht="30.45" customHeight="1">
      <c r="A4" s="15" t="s">
        <v>252</v>
      </c>
      <c r="B4" s="15" t="s">
        <v>253</v>
      </c>
    </row>
    <row r="5" spans="1:8" ht="30.45" customHeight="1">
      <c r="A5" s="15" t="s">
        <v>254</v>
      </c>
      <c r="B5" s="15" t="s">
        <v>255</v>
      </c>
    </row>
    <row r="6" spans="1:8" ht="30.45" customHeight="1">
      <c r="A6" s="15" t="s">
        <v>256</v>
      </c>
      <c r="B6" s="15" t="s">
        <v>257</v>
      </c>
    </row>
    <row r="7" spans="1:8" ht="30.45" customHeight="1">
      <c r="A7" s="15" t="s">
        <v>258</v>
      </c>
      <c r="B7" s="15" t="s">
        <v>259</v>
      </c>
    </row>
    <row r="8" spans="1:8" ht="30.45" customHeight="1">
      <c r="A8" s="15" t="s">
        <v>260</v>
      </c>
      <c r="B8" s="15" t="s">
        <v>261</v>
      </c>
    </row>
    <row r="10" spans="1:8">
      <c r="A10" s="26" t="s">
        <v>262</v>
      </c>
      <c r="B10" s="26"/>
      <c r="C10" s="26"/>
      <c r="D10" s="26"/>
      <c r="E10" s="26"/>
      <c r="F10" s="26"/>
      <c r="G10" s="26"/>
      <c r="H10" s="26"/>
    </row>
    <row r="11" spans="1:8">
      <c r="A11" s="16" t="s">
        <v>263</v>
      </c>
      <c r="B11" s="16" t="s">
        <v>264</v>
      </c>
      <c r="C11" s="16" t="s">
        <v>265</v>
      </c>
      <c r="D11" s="16" t="s">
        <v>266</v>
      </c>
      <c r="E11" s="16" t="s">
        <v>267</v>
      </c>
    </row>
    <row r="12" spans="1:8" ht="55.95" customHeight="1">
      <c r="A12" s="15" t="s">
        <v>8</v>
      </c>
      <c r="B12" s="15" t="s">
        <v>222</v>
      </c>
      <c r="C12" s="15" t="s">
        <v>268</v>
      </c>
      <c r="D12" s="15" t="s">
        <v>269</v>
      </c>
      <c r="E12" s="15" t="s">
        <v>270</v>
      </c>
    </row>
    <row r="14" spans="1:8">
      <c r="A14" s="26" t="s">
        <v>271</v>
      </c>
      <c r="B14" s="26"/>
      <c r="C14" s="26"/>
      <c r="D14" s="26"/>
      <c r="E14" s="26"/>
      <c r="F14" s="26"/>
      <c r="G14" s="26"/>
      <c r="H14" s="26"/>
    </row>
    <row r="15" spans="1:8" ht="17.55" customHeight="1">
      <c r="A15" s="37" t="s">
        <v>272</v>
      </c>
      <c r="B15" s="37"/>
      <c r="C15" s="37"/>
      <c r="D15" s="37"/>
      <c r="E15" s="37"/>
      <c r="F15" s="37"/>
      <c r="G15" s="37"/>
      <c r="H15" s="37"/>
    </row>
    <row r="16" spans="1:8" ht="17.55" customHeight="1">
      <c r="A16" s="37"/>
      <c r="B16" s="37"/>
      <c r="C16" s="37"/>
      <c r="D16" s="37"/>
      <c r="E16" s="37"/>
      <c r="F16" s="37"/>
      <c r="G16" s="37"/>
      <c r="H16" s="37"/>
    </row>
    <row r="17" spans="1:8" ht="17.55" customHeight="1">
      <c r="A17" s="37"/>
      <c r="B17" s="37"/>
      <c r="C17" s="37"/>
      <c r="D17" s="37"/>
      <c r="E17" s="37"/>
      <c r="F17" s="37"/>
      <c r="G17" s="37"/>
      <c r="H17" s="37"/>
    </row>
    <row r="18" spans="1:8" ht="17.55" customHeight="1">
      <c r="A18" s="37"/>
      <c r="B18" s="37"/>
      <c r="C18" s="37"/>
      <c r="D18" s="37"/>
      <c r="E18" s="37"/>
      <c r="F18" s="37"/>
      <c r="G18" s="37"/>
      <c r="H18" s="37"/>
    </row>
    <row r="19" spans="1:8" ht="17.55" customHeight="1">
      <c r="A19" s="37"/>
      <c r="B19" s="37"/>
      <c r="C19" s="37"/>
      <c r="D19" s="37"/>
      <c r="E19" s="37"/>
      <c r="F19" s="37"/>
      <c r="G19" s="37"/>
      <c r="H19" s="37"/>
    </row>
    <row r="20" spans="1:8" ht="17.55" customHeight="1">
      <c r="A20" s="37"/>
      <c r="B20" s="37"/>
      <c r="C20" s="37"/>
      <c r="D20" s="37"/>
      <c r="E20" s="37"/>
      <c r="F20" s="37"/>
      <c r="G20" s="37"/>
      <c r="H20" s="37"/>
    </row>
    <row r="21" spans="1:8" ht="17.55" customHeight="1">
      <c r="A21" s="37"/>
      <c r="B21" s="37"/>
      <c r="C21" s="37"/>
      <c r="D21" s="37"/>
      <c r="E21" s="37"/>
      <c r="F21" s="37"/>
      <c r="G21" s="37"/>
      <c r="H21" s="37"/>
    </row>
    <row r="22" spans="1:8" ht="17.55" customHeight="1">
      <c r="A22" s="37"/>
      <c r="B22" s="37"/>
      <c r="C22" s="37"/>
      <c r="D22" s="37"/>
      <c r="E22" s="37"/>
      <c r="F22" s="37"/>
      <c r="G22" s="37"/>
      <c r="H22" s="37"/>
    </row>
    <row r="23" spans="1:8" ht="17.55" customHeight="1">
      <c r="A23" s="37"/>
      <c r="B23" s="37"/>
      <c r="C23" s="37"/>
      <c r="D23" s="37"/>
      <c r="E23" s="37"/>
      <c r="F23" s="37"/>
      <c r="G23" s="37"/>
      <c r="H23" s="37"/>
    </row>
    <row r="24" spans="1:8" ht="17.55" customHeight="1">
      <c r="A24" s="37"/>
      <c r="B24" s="37"/>
      <c r="C24" s="37"/>
      <c r="D24" s="37"/>
      <c r="E24" s="37"/>
      <c r="F24" s="37"/>
      <c r="G24" s="37"/>
      <c r="H24" s="37"/>
    </row>
    <row r="25" spans="1:8" ht="17.55" customHeight="1">
      <c r="A25" s="37"/>
      <c r="B25" s="37"/>
      <c r="C25" s="37"/>
      <c r="D25" s="37"/>
      <c r="E25" s="37"/>
      <c r="F25" s="37"/>
      <c r="G25" s="37"/>
      <c r="H25" s="37"/>
    </row>
    <row r="27" spans="1:8">
      <c r="A27" s="26" t="s">
        <v>273</v>
      </c>
      <c r="B27" s="26"/>
      <c r="C27" s="26"/>
      <c r="D27" s="26"/>
      <c r="E27" s="26"/>
      <c r="F27" s="26"/>
      <c r="G27" s="26"/>
      <c r="H27" s="26"/>
    </row>
    <row r="28" spans="1:8" ht="33.6" customHeight="1">
      <c r="A28" s="15" t="s">
        <v>274</v>
      </c>
      <c r="B28" s="15" t="s">
        <v>275</v>
      </c>
    </row>
    <row r="29" spans="1:8" ht="33.6" customHeight="1">
      <c r="A29" s="15" t="s">
        <v>276</v>
      </c>
      <c r="B29" s="15" t="s">
        <v>277</v>
      </c>
    </row>
    <row r="30" spans="1:8" ht="33.6" customHeight="1">
      <c r="A30" s="15" t="s">
        <v>278</v>
      </c>
      <c r="B30" s="15" t="s">
        <v>279</v>
      </c>
    </row>
    <row r="31" spans="1:8" ht="33.6" customHeight="1">
      <c r="A31" s="15" t="s">
        <v>280</v>
      </c>
      <c r="B31" s="15" t="s">
        <v>281</v>
      </c>
    </row>
    <row r="32" spans="1:8" ht="33.6" customHeight="1">
      <c r="A32" s="15" t="s">
        <v>282</v>
      </c>
      <c r="B32" s="15" t="s">
        <v>283</v>
      </c>
    </row>
  </sheetData>
  <mergeCells count="6">
    <mergeCell ref="A15:H25"/>
    <mergeCell ref="A27:H27"/>
    <mergeCell ref="A1:H2"/>
    <mergeCell ref="A3:H3"/>
    <mergeCell ref="A10:H10"/>
    <mergeCell ref="A14:H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Tổng quan</vt:lpstr>
      <vt:lpstr>Dữ liệu đầu vào</vt:lpstr>
      <vt:lpstr>CHÍNH</vt:lpstr>
      <vt:lpstr>Công thức &amp; trọng số</vt:lpstr>
      <vt:lpstr>Nguồn dữ liệu &amp; API</vt:lpstr>
      <vt:lpstr>Thư viện khuyến nghị</vt:lpstr>
      <vt:lpstr>Hướng dẫn developer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Mai</dc:creator>
  <cp:lastModifiedBy>Huy Mai</cp:lastModifiedBy>
  <dcterms:created xsi:type="dcterms:W3CDTF">2026-07-10T14:11:07Z</dcterms:created>
  <dcterms:modified xsi:type="dcterms:W3CDTF">2026-07-10T14:11:08Z</dcterms:modified>
</cp:coreProperties>
</file>